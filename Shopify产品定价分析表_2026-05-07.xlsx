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设置" sheetId="1" state="visible" r:id="rId1"/>
    <sheet xmlns:r="http://schemas.openxmlformats.org/officeDocument/2006/relationships" name="产品定价分析表_2026-05-07" sheetId="2" state="visible" r:id="rId2"/>
    <sheet xmlns:r="http://schemas.openxmlformats.org/officeDocument/2006/relationships" name="汇总分析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"/>
    <numFmt numFmtId="166" formatCode="$#,##0.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6" fontId="0" fillId="0" borderId="1" pivotButton="0" quotePrefix="0" xfId="0"/>
    <xf numFmtId="164" fontId="0" fillId="0" borderId="1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定价分析参数配置</t>
        </is>
      </c>
    </row>
    <row r="3">
      <c r="A3" t="inlineStr">
        <is>
          <t>目标净利率 (%)</t>
        </is>
      </c>
      <c r="B3" s="2" t="n">
        <v>30</v>
      </c>
    </row>
    <row r="4">
      <c r="A4" t="inlineStr">
        <is>
          <t>变动成本率 (%)</t>
        </is>
      </c>
      <c r="B4" s="2" t="n">
        <v>25</v>
      </c>
    </row>
    <row r="5">
      <c r="A5" t="inlineStr">
        <is>
          <t>支付手续费 (%)</t>
        </is>
      </c>
      <c r="B5" s="3" t="n">
        <v>2.9</v>
      </c>
    </row>
    <row r="6">
      <c r="A6" t="inlineStr">
        <is>
          <t>支付固定费 ($)</t>
        </is>
      </c>
      <c r="B6" t="n">
        <v>0.3</v>
      </c>
    </row>
    <row r="7">
      <c r="A7" t="inlineStr">
        <is>
          <t>Shopify交易费 (%)</t>
        </is>
      </c>
      <c r="B7" s="3" t="n">
        <v>1</v>
      </c>
    </row>
    <row r="8">
      <c r="A8" t="inlineStr">
        <is>
          <t>广告CPA摊销 (%)</t>
        </is>
      </c>
      <c r="B8" s="2" t="n">
        <v>18</v>
      </c>
    </row>
    <row r="9">
      <c r="A9" t="inlineStr">
        <is>
          <t>退货率 (%)</t>
        </is>
      </c>
      <c r="B9" s="2" t="n">
        <v>3</v>
      </c>
    </row>
    <row r="10">
      <c r="A10" t="inlineStr">
        <is>
          <t>包装赠品 (%)</t>
        </is>
      </c>
      <c r="B10" s="3" t="n">
        <v>1.5</v>
      </c>
    </row>
    <row r="12">
      <c r="A12" t="inlineStr">
        <is>
          <t>划线价倍率</t>
        </is>
      </c>
      <c r="B12" s="4" t="n">
        <v>1.4</v>
      </c>
    </row>
    <row r="13">
      <c r="A13" t="inlineStr">
        <is>
          <t>价格差额比例 (%)</t>
        </is>
      </c>
      <c r="B13" t="n">
        <v>30</v>
      </c>
    </row>
    <row r="15">
      <c r="A15" s="5" t="inlineStr">
        <is>
          <t>物流费用基准</t>
        </is>
      </c>
    </row>
    <row r="16">
      <c r="A16" t="inlineStr">
        <is>
          <t>小件 (&lt; $10)</t>
        </is>
      </c>
      <c r="B16" t="n">
        <v>6.44</v>
      </c>
    </row>
    <row r="17">
      <c r="A17" t="inlineStr">
        <is>
          <t>中件 ($10-$25)</t>
        </is>
      </c>
      <c r="B17" t="n">
        <v>8.970000000000001</v>
      </c>
    </row>
    <row r="18">
      <c r="A18" t="inlineStr">
        <is>
          <t>大件 (&gt;$25)</t>
        </is>
      </c>
      <c r="B18" t="n">
        <v>15</v>
      </c>
    </row>
    <row r="20">
      <c r="A20" s="5" t="inlineStr">
        <is>
          <t>关税规则</t>
        </is>
      </c>
    </row>
    <row r="21">
      <c r="A21" t="inlineStr">
        <is>
          <t>US &lt;$800 免税阈值</t>
        </is>
      </c>
      <c r="B21" t="n">
        <v>800</v>
      </c>
    </row>
    <row r="22">
      <c r="A22" t="inlineStr">
        <is>
          <t>小包关税 (%)</t>
        </is>
      </c>
      <c r="B22" t="n">
        <v>0</v>
      </c>
    </row>
    <row r="23">
      <c r="A23" t="inlineStr">
        <is>
          <t>大件关税 (%)</t>
        </is>
      </c>
      <c r="B23" t="n">
        <v>10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8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</cols>
  <sheetData>
    <row r="1">
      <c r="A1" s="6" t="inlineStr">
        <is>
          <t>产品ID</t>
        </is>
      </c>
      <c r="B1" s="6" t="inlineStr">
        <is>
          <t>产品名称</t>
        </is>
      </c>
      <c r="C1" s="6" t="inlineStr">
        <is>
          <t>SKU编码</t>
        </is>
      </c>
      <c r="D1" s="6" t="inlineStr">
        <is>
          <t>产品分类</t>
        </is>
      </c>
      <c r="E1" s="6" t="inlineStr">
        <is>
          <t>变体数量</t>
        </is>
      </c>
      <c r="F1" s="6" t="inlineStr">
        <is>
          <t>库存状态</t>
        </is>
      </c>
      <c r="G1" s="6" t="inlineStr">
        <is>
          <t>CJ采购价($)</t>
        </is>
      </c>
      <c r="H1" s="6" t="inlineStr">
        <is>
          <t>头程运费($)</t>
        </is>
      </c>
      <c r="I1" s="6" t="inlineStr">
        <is>
          <t>关税($)</t>
        </is>
      </c>
      <c r="J1" s="6" t="inlineStr">
        <is>
          <t>包装成本($)</t>
        </is>
      </c>
      <c r="K1" s="6" t="inlineStr">
        <is>
          <t>落地成本($)</t>
        </is>
      </c>
      <c r="L1" s="6" t="inlineStr">
        <is>
          <t>目标净利率(%)</t>
        </is>
      </c>
      <c r="M1" s="6" t="inlineStr">
        <is>
          <t>变动成本率(%)</t>
        </is>
      </c>
      <c r="N1" s="6" t="inlineStr">
        <is>
          <t>计算零售价($)</t>
        </is>
      </c>
      <c r="O1" s="6" t="inlineStr">
        <is>
          <t>心理定价($)</t>
        </is>
      </c>
      <c r="P1" s="6" t="inlineStr">
        <is>
          <t>亚马逊均价($)</t>
        </is>
      </c>
      <c r="Q1" s="6" t="inlineStr">
        <is>
          <t>价格竞争力</t>
        </is>
      </c>
      <c r="R1" s="6" t="inlineStr">
        <is>
          <t>划线价格($)</t>
        </is>
      </c>
      <c r="S1" s="6" t="inlineStr">
        <is>
          <t>折扣率(%)</t>
        </is>
      </c>
      <c r="T1" s="6" t="inlineStr">
        <is>
          <t>毛利率(%)</t>
        </is>
      </c>
      <c r="U1" s="6" t="inlineStr">
        <is>
          <t>净利率(%)</t>
        </is>
      </c>
      <c r="V1" s="6" t="inlineStr">
        <is>
          <t>数据匹配状态</t>
        </is>
      </c>
    </row>
    <row r="2">
      <c r="A2" s="7" t="inlineStr">
        <is>
          <t>SHOP-00001</t>
        </is>
      </c>
      <c r="B2" s="7" t="inlineStr">
        <is>
          <t>超声波宠物除毛刷 V1</t>
        </is>
      </c>
      <c r="C2" s="7" t="inlineStr">
        <is>
          <t>PET-宠物-0001</t>
        </is>
      </c>
      <c r="D2" s="7" t="inlineStr">
        <is>
          <t>宠物美容</t>
        </is>
      </c>
      <c r="E2" s="7" t="n">
        <v>2</v>
      </c>
      <c r="F2" s="7" t="inlineStr">
        <is>
          <t>缺货</t>
        </is>
      </c>
      <c r="G2" s="8" t="n">
        <v>43.58</v>
      </c>
      <c r="H2" s="8" t="n">
        <v>15</v>
      </c>
      <c r="I2" s="8" t="n">
        <v>0</v>
      </c>
      <c r="J2" s="8" t="n">
        <v>0</v>
      </c>
      <c r="K2" s="8">
        <f>G2+H2+I2+J2</f>
        <v/>
      </c>
      <c r="L2" s="9">
        <f>$B$3</f>
        <v/>
      </c>
      <c r="M2" s="9">
        <f>$B$4</f>
        <v/>
      </c>
      <c r="N2" s="8">
        <f>K2/(1-(L2+M2))</f>
        <v/>
      </c>
      <c r="O2" s="8">
        <f>ROUND(K2/(1-(L2+M2)),2)</f>
        <v/>
      </c>
      <c r="P2" s="8" t="n">
        <v>142.17</v>
      </c>
      <c r="Q2" s="7">
        <f>IF(N2&lt;P2,"低于亚马逊",IF(N2&lt;P2*1.1,"接近亚马逊","高于亚马逊"))</f>
        <v/>
      </c>
      <c r="R2" s="8">
        <f>ROUND(N2*$B$12,2)</f>
        <v/>
      </c>
      <c r="S2" s="9">
        <f>(O2-N2)/O2</f>
        <v/>
      </c>
      <c r="T2" s="9">
        <f>(N2-K2)/N2</f>
        <v/>
      </c>
      <c r="U2" s="9">
        <f>(N2-K2)/N2-$B$4</f>
        <v/>
      </c>
      <c r="V2" s="7" t="inlineStr">
        <is>
          <t>已匹配</t>
        </is>
      </c>
    </row>
    <row r="3">
      <c r="A3" s="7" t="inlineStr">
        <is>
          <t>SHOP-00002</t>
        </is>
      </c>
      <c r="B3" s="7" t="inlineStr">
        <is>
          <t>智能宠物饮水机 V1</t>
        </is>
      </c>
      <c r="C3" s="7" t="inlineStr">
        <is>
          <t>PET-宠物-0002</t>
        </is>
      </c>
      <c r="D3" s="7" t="inlineStr">
        <is>
          <t>宠物玩具</t>
        </is>
      </c>
      <c r="E3" s="7" t="n">
        <v>1</v>
      </c>
      <c r="F3" s="7" t="inlineStr">
        <is>
          <t>有货</t>
        </is>
      </c>
      <c r="G3" s="8" t="n">
        <v>27.4</v>
      </c>
      <c r="H3" s="8" t="n">
        <v>15</v>
      </c>
      <c r="I3" s="8" t="n">
        <v>0</v>
      </c>
      <c r="J3" s="8" t="n">
        <v>0</v>
      </c>
      <c r="K3" s="8">
        <f>G3+H3+I3+J3</f>
        <v/>
      </c>
      <c r="L3" s="9">
        <f>$B$3</f>
        <v/>
      </c>
      <c r="M3" s="9">
        <f>$B$4</f>
        <v/>
      </c>
      <c r="N3" s="8">
        <f>K3/(1-(L3+M3))</f>
        <v/>
      </c>
      <c r="O3" s="8">
        <f>ROUND(K3/(1-(L3+M3)),2)</f>
        <v/>
      </c>
      <c r="P3" s="8" t="n">
        <v>77.84999999999999</v>
      </c>
      <c r="Q3" s="7">
        <f>IF(N3&lt;P3,"低于亚马逊",IF(N3&lt;P3*1.1,"接近亚马逊","高于亚马逊"))</f>
        <v/>
      </c>
      <c r="R3" s="8">
        <f>ROUND(N3*$B$12,2)</f>
        <v/>
      </c>
      <c r="S3" s="9">
        <f>(O3-N3)/O3</f>
        <v/>
      </c>
      <c r="T3" s="9">
        <f>(N3-K3)/N3</f>
        <v/>
      </c>
      <c r="U3" s="9">
        <f>(N3-K3)/N3-$B$4</f>
        <v/>
      </c>
      <c r="V3" s="7" t="inlineStr">
        <is>
          <t>已匹配</t>
        </is>
      </c>
    </row>
    <row r="4">
      <c r="A4" s="7" t="inlineStr">
        <is>
          <t>SHOP-00003</t>
        </is>
      </c>
      <c r="B4" s="7" t="inlineStr">
        <is>
          <t>宠物便携折叠笼 V1</t>
        </is>
      </c>
      <c r="C4" s="7" t="inlineStr">
        <is>
          <t>PET-宠物-0003</t>
        </is>
      </c>
      <c r="D4" s="7" t="inlineStr">
        <is>
          <t>宠物喂食</t>
        </is>
      </c>
      <c r="E4" s="7" t="n">
        <v>3</v>
      </c>
      <c r="F4" s="7" t="inlineStr">
        <is>
          <t>有货</t>
        </is>
      </c>
      <c r="G4" s="8" t="n">
        <v>24</v>
      </c>
      <c r="H4" s="8" t="n">
        <v>8.970000000000001</v>
      </c>
      <c r="I4" s="8" t="n">
        <v>0</v>
      </c>
      <c r="J4" s="8" t="n">
        <v>0</v>
      </c>
      <c r="K4" s="8">
        <f>G4+H4+I4+J4</f>
        <v/>
      </c>
      <c r="L4" s="9">
        <f>$B$3</f>
        <v/>
      </c>
      <c r="M4" s="9">
        <f>$B$4</f>
        <v/>
      </c>
      <c r="N4" s="8">
        <f>K4/(1-(L4+M4))</f>
        <v/>
      </c>
      <c r="O4" s="8">
        <f>ROUND(K4/(1-(L4+M4)),2)</f>
        <v/>
      </c>
      <c r="P4" s="8" t="n">
        <v>56.26</v>
      </c>
      <c r="Q4" s="7">
        <f>IF(N4&lt;P4,"低于亚马逊",IF(N4&lt;P4*1.1,"接近亚马逊","高于亚马逊"))</f>
        <v/>
      </c>
      <c r="R4" s="8">
        <f>ROUND(N4*$B$12,2)</f>
        <v/>
      </c>
      <c r="S4" s="9">
        <f>(O4-N4)/O4</f>
        <v/>
      </c>
      <c r="T4" s="9">
        <f>(N4-K4)/N4</f>
        <v/>
      </c>
      <c r="U4" s="9">
        <f>(N4-K4)/N4-$B$4</f>
        <v/>
      </c>
      <c r="V4" s="7" t="inlineStr">
        <is>
          <t>已匹配</t>
        </is>
      </c>
    </row>
    <row r="5">
      <c r="A5" s="7" t="inlineStr">
        <is>
          <t>SHOP-00004</t>
        </is>
      </c>
      <c r="B5" s="7" t="inlineStr">
        <is>
          <t>宠物多功能护理包 V1</t>
        </is>
      </c>
      <c r="C5" s="7" t="inlineStr">
        <is>
          <t>PET-宠物-0004</t>
        </is>
      </c>
      <c r="D5" s="7" t="inlineStr">
        <is>
          <t>宠物出行</t>
        </is>
      </c>
      <c r="E5" s="7" t="n">
        <v>1</v>
      </c>
      <c r="F5" s="7" t="inlineStr">
        <is>
          <t>有货</t>
        </is>
      </c>
      <c r="G5" s="8" t="n">
        <v>29.79</v>
      </c>
      <c r="H5" s="8" t="n">
        <v>15</v>
      </c>
      <c r="I5" s="8" t="n">
        <v>0</v>
      </c>
      <c r="J5" s="8" t="n">
        <v>0</v>
      </c>
      <c r="K5" s="8">
        <f>G5+H5+I5+J5</f>
        <v/>
      </c>
      <c r="L5" s="9">
        <f>$B$3</f>
        <v/>
      </c>
      <c r="M5" s="9">
        <f>$B$4</f>
        <v/>
      </c>
      <c r="N5" s="8">
        <f>K5/(1-(L5+M5))</f>
        <v/>
      </c>
      <c r="O5" s="8">
        <f>ROUND(K5/(1-(L5+M5)),2)</f>
        <v/>
      </c>
      <c r="P5" s="8" t="n">
        <v>91.11</v>
      </c>
      <c r="Q5" s="7">
        <f>IF(N5&lt;P5,"低于亚马逊",IF(N5&lt;P5*1.1,"接近亚马逊","高于亚马逊"))</f>
        <v/>
      </c>
      <c r="R5" s="8">
        <f>ROUND(N5*$B$12,2)</f>
        <v/>
      </c>
      <c r="S5" s="9">
        <f>(O5-N5)/O5</f>
        <v/>
      </c>
      <c r="T5" s="9">
        <f>(N5-K5)/N5</f>
        <v/>
      </c>
      <c r="U5" s="9">
        <f>(N5-K5)/N5-$B$4</f>
        <v/>
      </c>
      <c r="V5" s="7" t="inlineStr">
        <is>
          <t>已匹配</t>
        </is>
      </c>
    </row>
    <row r="6">
      <c r="A6" s="7" t="inlineStr">
        <is>
          <t>SHOP-00005</t>
        </is>
      </c>
      <c r="B6" s="7" t="inlineStr">
        <is>
          <t>宠物GPS定位项圈 V1</t>
        </is>
      </c>
      <c r="C6" s="7" t="inlineStr">
        <is>
          <t>PET-宠物-0005</t>
        </is>
      </c>
      <c r="D6" s="7" t="inlineStr">
        <is>
          <t>宠物清洁</t>
        </is>
      </c>
      <c r="E6" s="7" t="n">
        <v>4</v>
      </c>
      <c r="F6" s="7" t="inlineStr">
        <is>
          <t>库存紧张</t>
        </is>
      </c>
      <c r="G6" s="8" t="n">
        <v>16.91</v>
      </c>
      <c r="H6" s="8" t="n">
        <v>8.970000000000001</v>
      </c>
      <c r="I6" s="8" t="n">
        <v>0</v>
      </c>
      <c r="J6" s="8" t="n">
        <v>0</v>
      </c>
      <c r="K6" s="8">
        <f>G6+H6+I6+J6</f>
        <v/>
      </c>
      <c r="L6" s="9">
        <f>$B$3</f>
        <v/>
      </c>
      <c r="M6" s="9">
        <f>$B$4</f>
        <v/>
      </c>
      <c r="N6" s="8">
        <f>K6/(1-(L6+M6))</f>
        <v/>
      </c>
      <c r="O6" s="8">
        <f>ROUND(K6/(1-(L6+M6)),2)</f>
        <v/>
      </c>
      <c r="P6" s="8" t="n">
        <v>40.51</v>
      </c>
      <c r="Q6" s="7">
        <f>IF(N6&lt;P6,"低于亚马逊",IF(N6&lt;P6*1.1,"接近亚马逊","高于亚马逊"))</f>
        <v/>
      </c>
      <c r="R6" s="8">
        <f>ROUND(N6*$B$12,2)</f>
        <v/>
      </c>
      <c r="S6" s="9">
        <f>(O6-N6)/O6</f>
        <v/>
      </c>
      <c r="T6" s="9">
        <f>(N6-K6)/N6</f>
        <v/>
      </c>
      <c r="U6" s="9">
        <f>(N6-K6)/N6-$B$4</f>
        <v/>
      </c>
      <c r="V6" s="7" t="inlineStr">
        <is>
          <t>已匹配</t>
        </is>
      </c>
    </row>
    <row r="7">
      <c r="A7" s="7" t="inlineStr">
        <is>
          <t>SHOP-00006</t>
        </is>
      </c>
      <c r="B7" s="7" t="inlineStr">
        <is>
          <t>宠物电动剃毛器 V1</t>
        </is>
      </c>
      <c r="C7" s="7" t="inlineStr">
        <is>
          <t>PET-宠物-0006</t>
        </is>
      </c>
      <c r="D7" s="7" t="inlineStr">
        <is>
          <t>宠物服饰</t>
        </is>
      </c>
      <c r="E7" s="7" t="n">
        <v>1</v>
      </c>
      <c r="F7" s="7" t="inlineStr">
        <is>
          <t>有货</t>
        </is>
      </c>
      <c r="G7" s="8" t="n">
        <v>12.69</v>
      </c>
      <c r="H7" s="8" t="n">
        <v>8.970000000000001</v>
      </c>
      <c r="I7" s="8" t="n">
        <v>0</v>
      </c>
      <c r="J7" s="8" t="n">
        <v>0</v>
      </c>
      <c r="K7" s="8">
        <f>G7+H7+I7+J7</f>
        <v/>
      </c>
      <c r="L7" s="9">
        <f>$B$3</f>
        <v/>
      </c>
      <c r="M7" s="9">
        <f>$B$4</f>
        <v/>
      </c>
      <c r="N7" s="8">
        <f>K7/(1-(L7+M7))</f>
        <v/>
      </c>
      <c r="O7" s="8">
        <f>ROUND(K7/(1-(L7+M7)),2)</f>
        <v/>
      </c>
      <c r="P7" s="8" t="n">
        <v>29.27</v>
      </c>
      <c r="Q7" s="7">
        <f>IF(N7&lt;P7,"低于亚马逊",IF(N7&lt;P7*1.1,"接近亚马逊","高于亚马逊"))</f>
        <v/>
      </c>
      <c r="R7" s="8">
        <f>ROUND(N7*$B$12,2)</f>
        <v/>
      </c>
      <c r="S7" s="9">
        <f>(O7-N7)/O7</f>
        <v/>
      </c>
      <c r="T7" s="9">
        <f>(N7-K7)/N7</f>
        <v/>
      </c>
      <c r="U7" s="9">
        <f>(N7-K7)/N7-$B$4</f>
        <v/>
      </c>
      <c r="V7" s="7" t="inlineStr">
        <is>
          <t>已匹配</t>
        </is>
      </c>
    </row>
    <row r="8">
      <c r="A8" s="7" t="inlineStr">
        <is>
          <t>SHOP-00007</t>
        </is>
      </c>
      <c r="B8" s="7" t="inlineStr">
        <is>
          <t>宠物自动喂食器 V1</t>
        </is>
      </c>
      <c r="C8" s="7" t="inlineStr">
        <is>
          <t>PET-宠物-0007</t>
        </is>
      </c>
      <c r="D8" s="7" t="inlineStr">
        <is>
          <t>宠物美容</t>
        </is>
      </c>
      <c r="E8" s="7" t="n">
        <v>1</v>
      </c>
      <c r="F8" s="7" t="inlineStr">
        <is>
          <t>有货</t>
        </is>
      </c>
      <c r="G8" s="8" t="n">
        <v>4.25</v>
      </c>
      <c r="H8" s="8" t="n">
        <v>6.44</v>
      </c>
      <c r="I8" s="8" t="n">
        <v>0</v>
      </c>
      <c r="J8" s="8" t="n">
        <v>0</v>
      </c>
      <c r="K8" s="8">
        <f>G8+H8+I8+J8</f>
        <v/>
      </c>
      <c r="L8" s="9">
        <f>$B$3</f>
        <v/>
      </c>
      <c r="M8" s="9">
        <f>$B$4</f>
        <v/>
      </c>
      <c r="N8" s="8">
        <f>K8/(1-(L8+M8))</f>
        <v/>
      </c>
      <c r="O8" s="8">
        <f>ROUND(K8/(1-(L8+M8)),2)</f>
        <v/>
      </c>
      <c r="P8" s="8" t="n">
        <v>11.06</v>
      </c>
      <c r="Q8" s="7">
        <f>IF(N8&lt;P8,"低于亚马逊",IF(N8&lt;P8*1.1,"接近亚马逊","高于亚马逊"))</f>
        <v/>
      </c>
      <c r="R8" s="8">
        <f>ROUND(N8*$B$12,2)</f>
        <v/>
      </c>
      <c r="S8" s="9">
        <f>(O8-N8)/O8</f>
        <v/>
      </c>
      <c r="T8" s="9">
        <f>(N8-K8)/N8</f>
        <v/>
      </c>
      <c r="U8" s="9">
        <f>(N8-K8)/N8-$B$4</f>
        <v/>
      </c>
      <c r="V8" s="7" t="inlineStr">
        <is>
          <t>已匹配</t>
        </is>
      </c>
    </row>
    <row r="9">
      <c r="A9" s="7" t="inlineStr">
        <is>
          <t>SHOP-00008</t>
        </is>
      </c>
      <c r="B9" s="7" t="inlineStr">
        <is>
          <t>宠物外出牵引绳 V1</t>
        </is>
      </c>
      <c r="C9" s="7" t="inlineStr">
        <is>
          <t>PET-宠物-0008</t>
        </is>
      </c>
      <c r="D9" s="7" t="inlineStr">
        <is>
          <t>宠物玩具</t>
        </is>
      </c>
      <c r="E9" s="7" t="n">
        <v>4</v>
      </c>
      <c r="F9" s="7" t="inlineStr">
        <is>
          <t>缺货</t>
        </is>
      </c>
      <c r="G9" s="8" t="n">
        <v>11.16</v>
      </c>
      <c r="H9" s="8" t="n">
        <v>8.970000000000001</v>
      </c>
      <c r="I9" s="8" t="n">
        <v>0</v>
      </c>
      <c r="J9" s="8" t="n">
        <v>0</v>
      </c>
      <c r="K9" s="8">
        <f>G9+H9+I9+J9</f>
        <v/>
      </c>
      <c r="L9" s="9">
        <f>$B$3</f>
        <v/>
      </c>
      <c r="M9" s="9">
        <f>$B$4</f>
        <v/>
      </c>
      <c r="N9" s="8">
        <f>K9/(1-(L9+M9))</f>
        <v/>
      </c>
      <c r="O9" s="8">
        <f>ROUND(K9/(1-(L9+M9)),2)</f>
        <v/>
      </c>
      <c r="P9" s="8" t="n">
        <v>25.09</v>
      </c>
      <c r="Q9" s="7">
        <f>IF(N9&lt;P9,"低于亚马逊",IF(N9&lt;P9*1.1,"接近亚马逊","高于亚马逊"))</f>
        <v/>
      </c>
      <c r="R9" s="8">
        <f>ROUND(N9*$B$12,2)</f>
        <v/>
      </c>
      <c r="S9" s="9">
        <f>(O9-N9)/O9</f>
        <v/>
      </c>
      <c r="T9" s="9">
        <f>(N9-K9)/N9</f>
        <v/>
      </c>
      <c r="U9" s="9">
        <f>(N9-K9)/N9-$B$4</f>
        <v/>
      </c>
      <c r="V9" s="7" t="inlineStr">
        <is>
          <t>已匹配</t>
        </is>
      </c>
    </row>
    <row r="10">
      <c r="A10" s="7" t="inlineStr">
        <is>
          <t>SHOP-00009</t>
        </is>
      </c>
      <c r="B10" s="7" t="inlineStr">
        <is>
          <t>宠物洗澡沐浴露套装 V1</t>
        </is>
      </c>
      <c r="C10" s="7" t="inlineStr">
        <is>
          <t>PET-宠物-0009</t>
        </is>
      </c>
      <c r="D10" s="7" t="inlineStr">
        <is>
          <t>宠物喂食</t>
        </is>
      </c>
      <c r="E10" s="7" t="n">
        <v>2</v>
      </c>
      <c r="F10" s="7" t="inlineStr">
        <is>
          <t>有货</t>
        </is>
      </c>
      <c r="G10" s="8" t="n">
        <v>8.140000000000001</v>
      </c>
      <c r="H10" s="8" t="n">
        <v>6.44</v>
      </c>
      <c r="I10" s="8" t="n">
        <v>0</v>
      </c>
      <c r="J10" s="8" t="n">
        <v>0</v>
      </c>
      <c r="K10" s="8">
        <f>G10+H10+I10+J10</f>
        <v/>
      </c>
      <c r="L10" s="9">
        <f>$B$3</f>
        <v/>
      </c>
      <c r="M10" s="9">
        <f>$B$4</f>
        <v/>
      </c>
      <c r="N10" s="8">
        <f>K10/(1-(L10+M10))</f>
        <v/>
      </c>
      <c r="O10" s="8">
        <f>ROUND(K10/(1-(L10+M10)),2)</f>
        <v/>
      </c>
      <c r="P10" s="8" t="n">
        <v>27.63</v>
      </c>
      <c r="Q10" s="7">
        <f>IF(N10&lt;P10,"低于亚马逊",IF(N10&lt;P10*1.1,"接近亚马逊","高于亚马逊"))</f>
        <v/>
      </c>
      <c r="R10" s="8">
        <f>ROUND(N10*$B$12,2)</f>
        <v/>
      </c>
      <c r="S10" s="9">
        <f>(O10-N10)/O10</f>
        <v/>
      </c>
      <c r="T10" s="9">
        <f>(N10-K10)/N10</f>
        <v/>
      </c>
      <c r="U10" s="9">
        <f>(N10-K10)/N10-$B$4</f>
        <v/>
      </c>
      <c r="V10" s="7" t="inlineStr">
        <is>
          <t>已匹配</t>
        </is>
      </c>
    </row>
    <row r="11">
      <c r="A11" s="7" t="inlineStr">
        <is>
          <t>SHOP-00010</t>
        </is>
      </c>
      <c r="B11" s="7" t="inlineStr">
        <is>
          <t>宠物保暖舒适窝 V1</t>
        </is>
      </c>
      <c r="C11" s="7" t="inlineStr">
        <is>
          <t>PET-宠物-0010</t>
        </is>
      </c>
      <c r="D11" s="7" t="inlineStr">
        <is>
          <t>宠物出行</t>
        </is>
      </c>
      <c r="E11" s="7" t="n">
        <v>1</v>
      </c>
      <c r="F11" s="7" t="inlineStr">
        <is>
          <t>有货</t>
        </is>
      </c>
      <c r="G11" s="8" t="n">
        <v>37.38</v>
      </c>
      <c r="H11" s="8" t="n">
        <v>15</v>
      </c>
      <c r="I11" s="8" t="n">
        <v>0</v>
      </c>
      <c r="J11" s="8" t="n">
        <v>0</v>
      </c>
      <c r="K11" s="8">
        <f>G11+H11+I11+J11</f>
        <v/>
      </c>
      <c r="L11" s="9">
        <f>$B$3</f>
        <v/>
      </c>
      <c r="M11" s="9">
        <f>$B$4</f>
        <v/>
      </c>
      <c r="N11" s="8">
        <f>K11/(1-(L11+M11))</f>
        <v/>
      </c>
      <c r="O11" s="8">
        <f>ROUND(K11/(1-(L11+M11)),2)</f>
        <v/>
      </c>
      <c r="P11" s="8" t="n">
        <v>106.74</v>
      </c>
      <c r="Q11" s="7">
        <f>IF(N11&lt;P11,"低于亚马逊",IF(N11&lt;P11*1.1,"接近亚马逊","高于亚马逊"))</f>
        <v/>
      </c>
      <c r="R11" s="8">
        <f>ROUND(N11*$B$12,2)</f>
        <v/>
      </c>
      <c r="S11" s="9">
        <f>(O11-N11)/O11</f>
        <v/>
      </c>
      <c r="T11" s="9">
        <f>(N11-K11)/N11</f>
        <v/>
      </c>
      <c r="U11" s="9">
        <f>(N11-K11)/N11-$B$4</f>
        <v/>
      </c>
      <c r="V11" s="7" t="inlineStr">
        <is>
          <t>已匹配</t>
        </is>
      </c>
    </row>
    <row r="12">
      <c r="A12" s="7" t="inlineStr">
        <is>
          <t>SHOP-00011</t>
        </is>
      </c>
      <c r="B12" s="7" t="inlineStr">
        <is>
          <t>宠物训练响片 V1</t>
        </is>
      </c>
      <c r="C12" s="7" t="inlineStr">
        <is>
          <t>PET-宠物-0011</t>
        </is>
      </c>
      <c r="D12" s="7" t="inlineStr">
        <is>
          <t>宠物清洁</t>
        </is>
      </c>
      <c r="E12" s="7" t="n">
        <v>4</v>
      </c>
      <c r="F12" s="7" t="inlineStr">
        <is>
          <t>有货</t>
        </is>
      </c>
      <c r="G12" s="8" t="n">
        <v>7.28</v>
      </c>
      <c r="H12" s="8" t="n">
        <v>6.44</v>
      </c>
      <c r="I12" s="8" t="n">
        <v>0</v>
      </c>
      <c r="J12" s="8" t="n">
        <v>0</v>
      </c>
      <c r="K12" s="8">
        <f>G12+H12+I12+J12</f>
        <v/>
      </c>
      <c r="L12" s="9">
        <f>$B$3</f>
        <v/>
      </c>
      <c r="M12" s="9">
        <f>$B$4</f>
        <v/>
      </c>
      <c r="N12" s="8">
        <f>K12/(1-(L12+M12))</f>
        <v/>
      </c>
      <c r="O12" s="8">
        <f>ROUND(K12/(1-(L12+M12)),2)</f>
        <v/>
      </c>
      <c r="P12" s="8" t="n">
        <v>18.22</v>
      </c>
      <c r="Q12" s="7">
        <f>IF(N12&lt;P12,"低于亚马逊",IF(N12&lt;P12*1.1,"接近亚马逊","高于亚马逊"))</f>
        <v/>
      </c>
      <c r="R12" s="8">
        <f>ROUND(N12*$B$12,2)</f>
        <v/>
      </c>
      <c r="S12" s="9">
        <f>(O12-N12)/O12</f>
        <v/>
      </c>
      <c r="T12" s="9">
        <f>(N12-K12)/N12</f>
        <v/>
      </c>
      <c r="U12" s="9">
        <f>(N12-K12)/N12-$B$4</f>
        <v/>
      </c>
      <c r="V12" s="7" t="inlineStr">
        <is>
          <t>已匹配</t>
        </is>
      </c>
    </row>
    <row r="13">
      <c r="A13" s="7" t="inlineStr">
        <is>
          <t>SHOP-00012</t>
        </is>
      </c>
      <c r="B13" s="7" t="inlineStr">
        <is>
          <t>宠物拾便器 V1</t>
        </is>
      </c>
      <c r="C13" s="7" t="inlineStr">
        <is>
          <t>PET-宠物-0012</t>
        </is>
      </c>
      <c r="D13" s="7" t="inlineStr">
        <is>
          <t>宠物服饰</t>
        </is>
      </c>
      <c r="E13" s="7" t="n">
        <v>3</v>
      </c>
      <c r="F13" s="7" t="inlineStr">
        <is>
          <t>有货</t>
        </is>
      </c>
      <c r="G13" s="8" t="n">
        <v>5.41</v>
      </c>
      <c r="H13" s="8" t="n">
        <v>6.44</v>
      </c>
      <c r="I13" s="8" t="n">
        <v>0</v>
      </c>
      <c r="J13" s="8" t="n">
        <v>0</v>
      </c>
      <c r="K13" s="8">
        <f>G13+H13+I13+J13</f>
        <v/>
      </c>
      <c r="L13" s="9">
        <f>$B$3</f>
        <v/>
      </c>
      <c r="M13" s="9">
        <f>$B$4</f>
        <v/>
      </c>
      <c r="N13" s="8">
        <f>K13/(1-(L13+M13))</f>
        <v/>
      </c>
      <c r="O13" s="8">
        <f>ROUND(K13/(1-(L13+M13)),2)</f>
        <v/>
      </c>
      <c r="P13" s="8" t="n">
        <v>15.32</v>
      </c>
      <c r="Q13" s="7">
        <f>IF(N13&lt;P13,"低于亚马逊",IF(N13&lt;P13*1.1,"接近亚马逊","高于亚马逊"))</f>
        <v/>
      </c>
      <c r="R13" s="8">
        <f>ROUND(N13*$B$12,2)</f>
        <v/>
      </c>
      <c r="S13" s="9">
        <f>(O13-N13)/O13</f>
        <v/>
      </c>
      <c r="T13" s="9">
        <f>(N13-K13)/N13</f>
        <v/>
      </c>
      <c r="U13" s="9">
        <f>(N13-K13)/N13-$B$4</f>
        <v/>
      </c>
      <c r="V13" s="7" t="inlineStr">
        <is>
          <t>已匹配</t>
        </is>
      </c>
    </row>
    <row r="14">
      <c r="A14" s="7" t="inlineStr">
        <is>
          <t>SHOP-00013</t>
        </is>
      </c>
      <c r="B14" s="7" t="inlineStr">
        <is>
          <t>宠物冰垫凉席 V1</t>
        </is>
      </c>
      <c r="C14" s="7" t="inlineStr">
        <is>
          <t>PET-宠物-0013</t>
        </is>
      </c>
      <c r="D14" s="7" t="inlineStr">
        <is>
          <t>宠物美容</t>
        </is>
      </c>
      <c r="E14" s="7" t="n">
        <v>2</v>
      </c>
      <c r="F14" s="7" t="inlineStr">
        <is>
          <t>有货</t>
        </is>
      </c>
      <c r="G14" s="8" t="n">
        <v>43.76</v>
      </c>
      <c r="H14" s="8" t="n">
        <v>15</v>
      </c>
      <c r="I14" s="8" t="n">
        <v>0</v>
      </c>
      <c r="J14" s="8" t="n">
        <v>0</v>
      </c>
      <c r="K14" s="8">
        <f>G14+H14+I14+J14</f>
        <v/>
      </c>
      <c r="L14" s="9">
        <f>$B$3</f>
        <v/>
      </c>
      <c r="M14" s="9">
        <f>$B$4</f>
        <v/>
      </c>
      <c r="N14" s="8">
        <f>K14/(1-(L14+M14))</f>
        <v/>
      </c>
      <c r="O14" s="8">
        <f>ROUND(K14/(1-(L14+M14)),2)</f>
        <v/>
      </c>
      <c r="P14" s="8" t="n">
        <v>129.05</v>
      </c>
      <c r="Q14" s="7">
        <f>IF(N14&lt;P14,"低于亚马逊",IF(N14&lt;P14*1.1,"接近亚马逊","高于亚马逊"))</f>
        <v/>
      </c>
      <c r="R14" s="8">
        <f>ROUND(N14*$B$12,2)</f>
        <v/>
      </c>
      <c r="S14" s="9">
        <f>(O14-N14)/O14</f>
        <v/>
      </c>
      <c r="T14" s="9">
        <f>(N14-K14)/N14</f>
        <v/>
      </c>
      <c r="U14" s="9">
        <f>(N14-K14)/N14-$B$4</f>
        <v/>
      </c>
      <c r="V14" s="7" t="inlineStr">
        <is>
          <t>已匹配</t>
        </is>
      </c>
    </row>
    <row r="15">
      <c r="A15" s="7" t="inlineStr">
        <is>
          <t>SHOP-00014</t>
        </is>
      </c>
      <c r="B15" s="7" t="inlineStr">
        <is>
          <t>宠物磨牙玩具套装 V1</t>
        </is>
      </c>
      <c r="C15" s="7" t="inlineStr">
        <is>
          <t>PET-宠物-0014</t>
        </is>
      </c>
      <c r="D15" s="7" t="inlineStr">
        <is>
          <t>宠物玩具</t>
        </is>
      </c>
      <c r="E15" s="7" t="n">
        <v>2</v>
      </c>
      <c r="F15" s="7" t="inlineStr">
        <is>
          <t>库存紧张</t>
        </is>
      </c>
      <c r="G15" s="8" t="n">
        <v>32.42</v>
      </c>
      <c r="H15" s="8" t="n">
        <v>15</v>
      </c>
      <c r="I15" s="8" t="n">
        <v>0</v>
      </c>
      <c r="J15" s="8" t="n">
        <v>0</v>
      </c>
      <c r="K15" s="8">
        <f>G15+H15+I15+J15</f>
        <v/>
      </c>
      <c r="L15" s="9">
        <f>$B$3</f>
        <v/>
      </c>
      <c r="M15" s="9">
        <f>$B$4</f>
        <v/>
      </c>
      <c r="N15" s="8">
        <f>K15/(1-(L15+M15))</f>
        <v/>
      </c>
      <c r="O15" s="8">
        <f>ROUND(K15/(1-(L15+M15)),2)</f>
        <v/>
      </c>
      <c r="P15" s="8" t="n">
        <v>102.13</v>
      </c>
      <c r="Q15" s="7">
        <f>IF(N15&lt;P15,"低于亚马逊",IF(N15&lt;P15*1.1,"接近亚马逊","高于亚马逊"))</f>
        <v/>
      </c>
      <c r="R15" s="8">
        <f>ROUND(N15*$B$12,2)</f>
        <v/>
      </c>
      <c r="S15" s="9">
        <f>(O15-N15)/O15</f>
        <v/>
      </c>
      <c r="T15" s="9">
        <f>(N15-K15)/N15</f>
        <v/>
      </c>
      <c r="U15" s="9">
        <f>(N15-K15)/N15-$B$4</f>
        <v/>
      </c>
      <c r="V15" s="7" t="inlineStr">
        <is>
          <t>已匹配</t>
        </is>
      </c>
    </row>
    <row r="16">
      <c r="A16" s="7" t="inlineStr">
        <is>
          <t>SHOP-00015</t>
        </is>
      </c>
      <c r="B16" s="7" t="inlineStr">
        <is>
          <t>宠物航空箱 V1</t>
        </is>
      </c>
      <c r="C16" s="7" t="inlineStr">
        <is>
          <t>PET-宠物-0015</t>
        </is>
      </c>
      <c r="D16" s="7" t="inlineStr">
        <is>
          <t>宠物喂食</t>
        </is>
      </c>
      <c r="E16" s="7" t="n">
        <v>2</v>
      </c>
      <c r="F16" s="7" t="inlineStr">
        <is>
          <t>缺货</t>
        </is>
      </c>
      <c r="G16" s="8" t="n">
        <v>32.49</v>
      </c>
      <c r="H16" s="8" t="n">
        <v>15</v>
      </c>
      <c r="I16" s="8" t="n">
        <v>0</v>
      </c>
      <c r="J16" s="8" t="n">
        <v>0</v>
      </c>
      <c r="K16" s="8">
        <f>G16+H16+I16+J16</f>
        <v/>
      </c>
      <c r="L16" s="9">
        <f>$B$3</f>
        <v/>
      </c>
      <c r="M16" s="9">
        <f>$B$4</f>
        <v/>
      </c>
      <c r="N16" s="8">
        <f>K16/(1-(L16+M16))</f>
        <v/>
      </c>
      <c r="O16" s="8">
        <f>ROUND(K16/(1-(L16+M16)),2)</f>
        <v/>
      </c>
      <c r="P16" s="8" t="n">
        <v>80.22</v>
      </c>
      <c r="Q16" s="7">
        <f>IF(N16&lt;P16,"低于亚马逊",IF(N16&lt;P16*1.1,"接近亚马逊","高于亚马逊"))</f>
        <v/>
      </c>
      <c r="R16" s="8">
        <f>ROUND(N16*$B$12,2)</f>
        <v/>
      </c>
      <c r="S16" s="9">
        <f>(O16-N16)/O16</f>
        <v/>
      </c>
      <c r="T16" s="9">
        <f>(N16-K16)/N16</f>
        <v/>
      </c>
      <c r="U16" s="9">
        <f>(N16-K16)/N16-$B$4</f>
        <v/>
      </c>
      <c r="V16" s="7" t="inlineStr">
        <is>
          <t>已匹配</t>
        </is>
      </c>
    </row>
    <row r="17">
      <c r="A17" s="7" t="inlineStr">
        <is>
          <t>SHOP-00016</t>
        </is>
      </c>
      <c r="B17" s="7" t="inlineStr">
        <is>
          <t>宠物外出背包 V1</t>
        </is>
      </c>
      <c r="C17" s="7" t="inlineStr">
        <is>
          <t>PET-宠物-0016</t>
        </is>
      </c>
      <c r="D17" s="7" t="inlineStr">
        <is>
          <t>宠物出行</t>
        </is>
      </c>
      <c r="E17" s="7" t="n">
        <v>3</v>
      </c>
      <c r="F17" s="7" t="inlineStr">
        <is>
          <t>有货</t>
        </is>
      </c>
      <c r="G17" s="8" t="n">
        <v>13.78</v>
      </c>
      <c r="H17" s="8" t="n">
        <v>8.970000000000001</v>
      </c>
      <c r="I17" s="8" t="n">
        <v>0</v>
      </c>
      <c r="J17" s="8" t="n">
        <v>0</v>
      </c>
      <c r="K17" s="8">
        <f>G17+H17+I17+J17</f>
        <v/>
      </c>
      <c r="L17" s="9">
        <f>$B$3</f>
        <v/>
      </c>
      <c r="M17" s="9">
        <f>$B$4</f>
        <v/>
      </c>
      <c r="N17" s="8">
        <f>K17/(1-(L17+M17))</f>
        <v/>
      </c>
      <c r="O17" s="8">
        <f>ROUND(K17/(1-(L17+M17)),2)</f>
        <v/>
      </c>
      <c r="P17" s="8" t="n">
        <v>43.95</v>
      </c>
      <c r="Q17" s="7">
        <f>IF(N17&lt;P17,"低于亚马逊",IF(N17&lt;P17*1.1,"接近亚马逊","高于亚马逊"))</f>
        <v/>
      </c>
      <c r="R17" s="8">
        <f>ROUND(N17*$B$12,2)</f>
        <v/>
      </c>
      <c r="S17" s="9">
        <f>(O17-N17)/O17</f>
        <v/>
      </c>
      <c r="T17" s="9">
        <f>(N17-K17)/N17</f>
        <v/>
      </c>
      <c r="U17" s="9">
        <f>(N17-K17)/N17-$B$4</f>
        <v/>
      </c>
      <c r="V17" s="7" t="inlineStr">
        <is>
          <t>已匹配</t>
        </is>
      </c>
    </row>
    <row r="18">
      <c r="A18" s="7" t="inlineStr">
        <is>
          <t>SHOP-00017</t>
        </is>
      </c>
      <c r="B18" s="7" t="inlineStr">
        <is>
          <t>宠物干洗喷雾 V1</t>
        </is>
      </c>
      <c r="C18" s="7" t="inlineStr">
        <is>
          <t>PET-宠物-0017</t>
        </is>
      </c>
      <c r="D18" s="7" t="inlineStr">
        <is>
          <t>宠物清洁</t>
        </is>
      </c>
      <c r="E18" s="7" t="n">
        <v>2</v>
      </c>
      <c r="F18" s="7" t="inlineStr">
        <is>
          <t>库存紧张</t>
        </is>
      </c>
      <c r="G18" s="8" t="n">
        <v>16.49</v>
      </c>
      <c r="H18" s="8" t="n">
        <v>8.970000000000001</v>
      </c>
      <c r="I18" s="8" t="n">
        <v>0</v>
      </c>
      <c r="J18" s="8" t="n">
        <v>0</v>
      </c>
      <c r="K18" s="8">
        <f>G18+H18+I18+J18</f>
        <v/>
      </c>
      <c r="L18" s="9">
        <f>$B$3</f>
        <v/>
      </c>
      <c r="M18" s="9">
        <f>$B$4</f>
        <v/>
      </c>
      <c r="N18" s="8">
        <f>K18/(1-(L18+M18))</f>
        <v/>
      </c>
      <c r="O18" s="8">
        <f>ROUND(K18/(1-(L18+M18)),2)</f>
        <v/>
      </c>
      <c r="P18" s="8" t="n">
        <v>48.53</v>
      </c>
      <c r="Q18" s="7">
        <f>IF(N18&lt;P18,"低于亚马逊",IF(N18&lt;P18*1.1,"接近亚马逊","高于亚马逊"))</f>
        <v/>
      </c>
      <c r="R18" s="8">
        <f>ROUND(N18*$B$12,2)</f>
        <v/>
      </c>
      <c r="S18" s="9">
        <f>(O18-N18)/O18</f>
        <v/>
      </c>
      <c r="T18" s="9">
        <f>(N18-K18)/N18</f>
        <v/>
      </c>
      <c r="U18" s="9">
        <f>(N18-K18)/N18-$B$4</f>
        <v/>
      </c>
      <c r="V18" s="7" t="inlineStr">
        <is>
          <t>已匹配</t>
        </is>
      </c>
    </row>
    <row r="19">
      <c r="A19" s="7" t="inlineStr">
        <is>
          <t>SHOP-00018</t>
        </is>
      </c>
      <c r="B19" s="7" t="inlineStr">
        <is>
          <t>宠物指甲剪套装 V1</t>
        </is>
      </c>
      <c r="C19" s="7" t="inlineStr">
        <is>
          <t>PET-宠物-0018</t>
        </is>
      </c>
      <c r="D19" s="7" t="inlineStr">
        <is>
          <t>宠物服饰</t>
        </is>
      </c>
      <c r="E19" s="7" t="n">
        <v>1</v>
      </c>
      <c r="F19" s="7" t="inlineStr">
        <is>
          <t>库存紧张</t>
        </is>
      </c>
      <c r="G19" s="8" t="n">
        <v>7.12</v>
      </c>
      <c r="H19" s="8" t="n">
        <v>6.44</v>
      </c>
      <c r="I19" s="8" t="n">
        <v>0</v>
      </c>
      <c r="J19" s="8" t="n">
        <v>0</v>
      </c>
      <c r="K19" s="8">
        <f>G19+H19+I19+J19</f>
        <v/>
      </c>
      <c r="L19" s="9">
        <f>$B$3</f>
        <v/>
      </c>
      <c r="M19" s="9">
        <f>$B$4</f>
        <v/>
      </c>
      <c r="N19" s="8">
        <f>K19/(1-(L19+M19))</f>
        <v/>
      </c>
      <c r="O19" s="8">
        <f>ROUND(K19/(1-(L19+M19)),2)</f>
        <v/>
      </c>
      <c r="P19" s="8" t="n">
        <v>21.35</v>
      </c>
      <c r="Q19" s="7">
        <f>IF(N19&lt;P19,"低于亚马逊",IF(N19&lt;P19*1.1,"接近亚马逊","高于亚马逊"))</f>
        <v/>
      </c>
      <c r="R19" s="8">
        <f>ROUND(N19*$B$12,2)</f>
        <v/>
      </c>
      <c r="S19" s="9">
        <f>(O19-N19)/O19</f>
        <v/>
      </c>
      <c r="T19" s="9">
        <f>(N19-K19)/N19</f>
        <v/>
      </c>
      <c r="U19" s="9">
        <f>(N19-K19)/N19-$B$4</f>
        <v/>
      </c>
      <c r="V19" s="7" t="inlineStr">
        <is>
          <t>已匹配</t>
        </is>
      </c>
    </row>
    <row r="20">
      <c r="A20" s="7" t="inlineStr">
        <is>
          <t>SHOP-00019</t>
        </is>
      </c>
      <c r="B20" s="7" t="inlineStr">
        <is>
          <t>宠物体温计 V1</t>
        </is>
      </c>
      <c r="C20" s="7" t="inlineStr">
        <is>
          <t>PET-宠物-0019</t>
        </is>
      </c>
      <c r="D20" s="7" t="inlineStr">
        <is>
          <t>宠物美容</t>
        </is>
      </c>
      <c r="E20" s="7" t="n">
        <v>2</v>
      </c>
      <c r="F20" s="7" t="inlineStr">
        <is>
          <t>有货</t>
        </is>
      </c>
      <c r="G20" s="8" t="n">
        <v>40.74</v>
      </c>
      <c r="H20" s="8" t="n">
        <v>15</v>
      </c>
      <c r="I20" s="8" t="n">
        <v>0</v>
      </c>
      <c r="J20" s="8" t="n">
        <v>0</v>
      </c>
      <c r="K20" s="8">
        <f>G20+H20+I20+J20</f>
        <v/>
      </c>
      <c r="L20" s="9">
        <f>$B$3</f>
        <v/>
      </c>
      <c r="M20" s="9">
        <f>$B$4</f>
        <v/>
      </c>
      <c r="N20" s="8">
        <f>K20/(1-(L20+M20))</f>
        <v/>
      </c>
      <c r="O20" s="8">
        <f>ROUND(K20/(1-(L20+M20)),2)</f>
        <v/>
      </c>
      <c r="P20" s="8" t="n">
        <v>102.16</v>
      </c>
      <c r="Q20" s="7">
        <f>IF(N20&lt;P20,"低于亚马逊",IF(N20&lt;P20*1.1,"接近亚马逊","高于亚马逊"))</f>
        <v/>
      </c>
      <c r="R20" s="8">
        <f>ROUND(N20*$B$12,2)</f>
        <v/>
      </c>
      <c r="S20" s="9">
        <f>(O20-N20)/O20</f>
        <v/>
      </c>
      <c r="T20" s="9">
        <f>(N20-K20)/N20</f>
        <v/>
      </c>
      <c r="U20" s="9">
        <f>(N20-K20)/N20-$B$4</f>
        <v/>
      </c>
      <c r="V20" s="7" t="inlineStr">
        <is>
          <t>已匹配</t>
        </is>
      </c>
    </row>
    <row r="21">
      <c r="A21" s="7" t="inlineStr">
        <is>
          <t>SHOP-00020</t>
        </is>
      </c>
      <c r="B21" s="7" t="inlineStr">
        <is>
          <t>宠物牙刷牙膏套装 V1</t>
        </is>
      </c>
      <c r="C21" s="7" t="inlineStr">
        <is>
          <t>PET-宠物-0020</t>
        </is>
      </c>
      <c r="D21" s="7" t="inlineStr">
        <is>
          <t>宠物玩具</t>
        </is>
      </c>
      <c r="E21" s="7" t="n">
        <v>2</v>
      </c>
      <c r="F21" s="7" t="inlineStr">
        <is>
          <t>缺货</t>
        </is>
      </c>
      <c r="G21" s="8" t="n">
        <v>26.41</v>
      </c>
      <c r="H21" s="8" t="n">
        <v>15</v>
      </c>
      <c r="I21" s="8" t="n">
        <v>0</v>
      </c>
      <c r="J21" s="8" t="n">
        <v>0</v>
      </c>
      <c r="K21" s="8">
        <f>G21+H21+I21+J21</f>
        <v/>
      </c>
      <c r="L21" s="9">
        <f>$B$3</f>
        <v/>
      </c>
      <c r="M21" s="9">
        <f>$B$4</f>
        <v/>
      </c>
      <c r="N21" s="8">
        <f>K21/(1-(L21+M21))</f>
        <v/>
      </c>
      <c r="O21" s="8">
        <f>ROUND(K21/(1-(L21+M21)),2)</f>
        <v/>
      </c>
      <c r="P21" s="8" t="n">
        <v>87.5</v>
      </c>
      <c r="Q21" s="7">
        <f>IF(N21&lt;P21,"低于亚马逊",IF(N21&lt;P21*1.1,"接近亚马逊","高于亚马逊"))</f>
        <v/>
      </c>
      <c r="R21" s="8">
        <f>ROUND(N21*$B$12,2)</f>
        <v/>
      </c>
      <c r="S21" s="9">
        <f>(O21-N21)/O21</f>
        <v/>
      </c>
      <c r="T21" s="9">
        <f>(N21-K21)/N21</f>
        <v/>
      </c>
      <c r="U21" s="9">
        <f>(N21-K21)/N21-$B$4</f>
        <v/>
      </c>
      <c r="V21" s="7" t="inlineStr">
        <is>
          <t>已匹配</t>
        </is>
      </c>
    </row>
    <row r="22">
      <c r="A22" s="7" t="inlineStr">
        <is>
          <t>SHOP-00021</t>
        </is>
      </c>
      <c r="B22" s="7" t="inlineStr">
        <is>
          <t>宠物胸背带 V1</t>
        </is>
      </c>
      <c r="C22" s="7" t="inlineStr">
        <is>
          <t>PET-宠物-0021</t>
        </is>
      </c>
      <c r="D22" s="7" t="inlineStr">
        <is>
          <t>宠物喂食</t>
        </is>
      </c>
      <c r="E22" s="7" t="n">
        <v>3</v>
      </c>
      <c r="F22" s="7" t="inlineStr">
        <is>
          <t>有货</t>
        </is>
      </c>
      <c r="G22" s="8" t="n">
        <v>38.59</v>
      </c>
      <c r="H22" s="8" t="n">
        <v>15</v>
      </c>
      <c r="I22" s="8" t="n">
        <v>0</v>
      </c>
      <c r="J22" s="8" t="n">
        <v>0</v>
      </c>
      <c r="K22" s="8">
        <f>G22+H22+I22+J22</f>
        <v/>
      </c>
      <c r="L22" s="9">
        <f>$B$3</f>
        <v/>
      </c>
      <c r="M22" s="9">
        <f>$B$4</f>
        <v/>
      </c>
      <c r="N22" s="8">
        <f>K22/(1-(L22+M22))</f>
        <v/>
      </c>
      <c r="O22" s="8">
        <f>ROUND(K22/(1-(L22+M22)),2)</f>
        <v/>
      </c>
      <c r="P22" s="8" t="n">
        <v>91.70999999999999</v>
      </c>
      <c r="Q22" s="7">
        <f>IF(N22&lt;P22,"低于亚马逊",IF(N22&lt;P22*1.1,"接近亚马逊","高于亚马逊"))</f>
        <v/>
      </c>
      <c r="R22" s="8">
        <f>ROUND(N22*$B$12,2)</f>
        <v/>
      </c>
      <c r="S22" s="9">
        <f>(O22-N22)/O22</f>
        <v/>
      </c>
      <c r="T22" s="9">
        <f>(N22-K22)/N22</f>
        <v/>
      </c>
      <c r="U22" s="9">
        <f>(N22-K22)/N22-$B$4</f>
        <v/>
      </c>
      <c r="V22" s="7" t="inlineStr">
        <is>
          <t>已匹配</t>
        </is>
      </c>
    </row>
    <row r="23">
      <c r="A23" s="7" t="inlineStr">
        <is>
          <t>SHOP-00022</t>
        </is>
      </c>
      <c r="B23" s="7" t="inlineStr">
        <is>
          <t>宠物雨衣套装 V1</t>
        </is>
      </c>
      <c r="C23" s="7" t="inlineStr">
        <is>
          <t>PET-宠物-0022</t>
        </is>
      </c>
      <c r="D23" s="7" t="inlineStr">
        <is>
          <t>宠物出行</t>
        </is>
      </c>
      <c r="E23" s="7" t="n">
        <v>3</v>
      </c>
      <c r="F23" s="7" t="inlineStr">
        <is>
          <t>有货</t>
        </is>
      </c>
      <c r="G23" s="8" t="n">
        <v>24.72</v>
      </c>
      <c r="H23" s="8" t="n">
        <v>8.970000000000001</v>
      </c>
      <c r="I23" s="8" t="n">
        <v>0</v>
      </c>
      <c r="J23" s="8" t="n">
        <v>0</v>
      </c>
      <c r="K23" s="8">
        <f>G23+H23+I23+J23</f>
        <v/>
      </c>
      <c r="L23" s="9">
        <f>$B$3</f>
        <v/>
      </c>
      <c r="M23" s="9">
        <f>$B$4</f>
        <v/>
      </c>
      <c r="N23" s="8">
        <f>K23/(1-(L23+M23))</f>
        <v/>
      </c>
      <c r="O23" s="8">
        <f>ROUND(K23/(1-(L23+M23)),2)</f>
        <v/>
      </c>
      <c r="P23" s="8" t="n">
        <v>62.24</v>
      </c>
      <c r="Q23" s="7">
        <f>IF(N23&lt;P23,"低于亚马逊",IF(N23&lt;P23*1.1,"接近亚马逊","高于亚马逊"))</f>
        <v/>
      </c>
      <c r="R23" s="8">
        <f>ROUND(N23*$B$12,2)</f>
        <v/>
      </c>
      <c r="S23" s="9">
        <f>(O23-N23)/O23</f>
        <v/>
      </c>
      <c r="T23" s="9">
        <f>(N23-K23)/N23</f>
        <v/>
      </c>
      <c r="U23" s="9">
        <f>(N23-K23)/N23-$B$4</f>
        <v/>
      </c>
      <c r="V23" s="7" t="inlineStr">
        <is>
          <t>已匹配</t>
        </is>
      </c>
    </row>
    <row r="24">
      <c r="A24" s="7" t="inlineStr">
        <is>
          <t>SHOP-00023</t>
        </is>
      </c>
      <c r="B24" s="7" t="inlineStr">
        <is>
          <t>宠物门栏围栏 V1</t>
        </is>
      </c>
      <c r="C24" s="7" t="inlineStr">
        <is>
          <t>PET-宠物-0023</t>
        </is>
      </c>
      <c r="D24" s="7" t="inlineStr">
        <is>
          <t>宠物清洁</t>
        </is>
      </c>
      <c r="E24" s="7" t="n">
        <v>4</v>
      </c>
      <c r="F24" s="7" t="inlineStr">
        <is>
          <t>有货</t>
        </is>
      </c>
      <c r="G24" s="8" t="n">
        <v>24.89</v>
      </c>
      <c r="H24" s="8" t="n">
        <v>8.970000000000001</v>
      </c>
      <c r="I24" s="8" t="n">
        <v>0</v>
      </c>
      <c r="J24" s="8" t="n">
        <v>0</v>
      </c>
      <c r="K24" s="8">
        <f>G24+H24+I24+J24</f>
        <v/>
      </c>
      <c r="L24" s="9">
        <f>$B$3</f>
        <v/>
      </c>
      <c r="M24" s="9">
        <f>$B$4</f>
        <v/>
      </c>
      <c r="N24" s="8">
        <f>K24/(1-(L24+M24))</f>
        <v/>
      </c>
      <c r="O24" s="8">
        <f>ROUND(K24/(1-(L24+M24)),2)</f>
        <v/>
      </c>
      <c r="P24" s="8" t="n">
        <v>84.20999999999999</v>
      </c>
      <c r="Q24" s="7">
        <f>IF(N24&lt;P24,"低于亚马逊",IF(N24&lt;P24*1.1,"接近亚马逊","高于亚马逊"))</f>
        <v/>
      </c>
      <c r="R24" s="8">
        <f>ROUND(N24*$B$12,2)</f>
        <v/>
      </c>
      <c r="S24" s="9">
        <f>(O24-N24)/O24</f>
        <v/>
      </c>
      <c r="T24" s="9">
        <f>(N24-K24)/N24</f>
        <v/>
      </c>
      <c r="U24" s="9">
        <f>(N24-K24)/N24-$B$4</f>
        <v/>
      </c>
      <c r="V24" s="7" t="inlineStr">
        <is>
          <t>已匹配</t>
        </is>
      </c>
    </row>
    <row r="25">
      <c r="A25" s="7" t="inlineStr">
        <is>
          <t>SHOP-00024</t>
        </is>
      </c>
      <c r="B25" s="7" t="inlineStr">
        <is>
          <t>宠物床铺垫子 V1</t>
        </is>
      </c>
      <c r="C25" s="7" t="inlineStr">
        <is>
          <t>PET-宠物-0024</t>
        </is>
      </c>
      <c r="D25" s="7" t="inlineStr">
        <is>
          <t>宠物服饰</t>
        </is>
      </c>
      <c r="E25" s="7" t="n">
        <v>4</v>
      </c>
      <c r="F25" s="7" t="inlineStr">
        <is>
          <t>库存紧张</t>
        </is>
      </c>
      <c r="G25" s="8" t="n">
        <v>16.57</v>
      </c>
      <c r="H25" s="8" t="n">
        <v>8.970000000000001</v>
      </c>
      <c r="I25" s="8" t="n">
        <v>0</v>
      </c>
      <c r="J25" s="8" t="n">
        <v>0</v>
      </c>
      <c r="K25" s="8">
        <f>G25+H25+I25+J25</f>
        <v/>
      </c>
      <c r="L25" s="9">
        <f>$B$3</f>
        <v/>
      </c>
      <c r="M25" s="9">
        <f>$B$4</f>
        <v/>
      </c>
      <c r="N25" s="8">
        <f>K25/(1-(L25+M25))</f>
        <v/>
      </c>
      <c r="O25" s="8">
        <f>ROUND(K25/(1-(L25+M25)),2)</f>
        <v/>
      </c>
      <c r="P25" s="8" t="n">
        <v>38.09</v>
      </c>
      <c r="Q25" s="7">
        <f>IF(N25&lt;P25,"低于亚马逊",IF(N25&lt;P25*1.1,"接近亚马逊","高于亚马逊"))</f>
        <v/>
      </c>
      <c r="R25" s="8">
        <f>ROUND(N25*$B$12,2)</f>
        <v/>
      </c>
      <c r="S25" s="9">
        <f>(O25-N25)/O25</f>
        <v/>
      </c>
      <c r="T25" s="9">
        <f>(N25-K25)/N25</f>
        <v/>
      </c>
      <c r="U25" s="9">
        <f>(N25-K25)/N25-$B$4</f>
        <v/>
      </c>
      <c r="V25" s="7" t="inlineStr">
        <is>
          <t>已匹配</t>
        </is>
      </c>
    </row>
    <row r="26">
      <c r="A26" s="7" t="inlineStr">
        <is>
          <t>SHOP-00025</t>
        </is>
      </c>
      <c r="B26" s="7" t="inlineStr">
        <is>
          <t>宠物喂食碗套装 V1</t>
        </is>
      </c>
      <c r="C26" s="7" t="inlineStr">
        <is>
          <t>PET-宠物-0025</t>
        </is>
      </c>
      <c r="D26" s="7" t="inlineStr">
        <is>
          <t>宠物美容</t>
        </is>
      </c>
      <c r="E26" s="7" t="n">
        <v>2</v>
      </c>
      <c r="F26" s="7" t="inlineStr">
        <is>
          <t>库存紧张</t>
        </is>
      </c>
      <c r="G26" s="8" t="n">
        <v>37.52</v>
      </c>
      <c r="H26" s="8" t="n">
        <v>15</v>
      </c>
      <c r="I26" s="8" t="n">
        <v>0</v>
      </c>
      <c r="J26" s="8" t="n">
        <v>0</v>
      </c>
      <c r="K26" s="8">
        <f>G26+H26+I26+J26</f>
        <v/>
      </c>
      <c r="L26" s="9">
        <f>$B$3</f>
        <v/>
      </c>
      <c r="M26" s="9">
        <f>$B$4</f>
        <v/>
      </c>
      <c r="N26" s="8">
        <f>K26/(1-(L26+M26))</f>
        <v/>
      </c>
      <c r="O26" s="8">
        <f>ROUND(K26/(1-(L26+M26)),2)</f>
        <v/>
      </c>
      <c r="P26" s="8" t="n">
        <v>105.75</v>
      </c>
      <c r="Q26" s="7">
        <f>IF(N26&lt;P26,"低于亚马逊",IF(N26&lt;P26*1.1,"接近亚马逊","高于亚马逊"))</f>
        <v/>
      </c>
      <c r="R26" s="8">
        <f>ROUND(N26*$B$12,2)</f>
        <v/>
      </c>
      <c r="S26" s="9">
        <f>(O26-N26)/O26</f>
        <v/>
      </c>
      <c r="T26" s="9">
        <f>(N26-K26)/N26</f>
        <v/>
      </c>
      <c r="U26" s="9">
        <f>(N26-K26)/N26-$B$4</f>
        <v/>
      </c>
      <c r="V26" s="7" t="inlineStr">
        <is>
          <t>已匹配</t>
        </is>
      </c>
    </row>
    <row r="27">
      <c r="A27" s="7" t="inlineStr">
        <is>
          <t>SHOP-00026</t>
        </is>
      </c>
      <c r="B27" s="7" t="inlineStr">
        <is>
          <t>宠物饮水瓶 V1</t>
        </is>
      </c>
      <c r="C27" s="7" t="inlineStr">
        <is>
          <t>PET-宠物-0026</t>
        </is>
      </c>
      <c r="D27" s="7" t="inlineStr">
        <is>
          <t>宠物玩具</t>
        </is>
      </c>
      <c r="E27" s="7" t="n">
        <v>4</v>
      </c>
      <c r="F27" s="7" t="inlineStr">
        <is>
          <t>库存紧张</t>
        </is>
      </c>
      <c r="G27" s="8" t="n">
        <v>4.89</v>
      </c>
      <c r="H27" s="8" t="n">
        <v>6.44</v>
      </c>
      <c r="I27" s="8" t="n">
        <v>0</v>
      </c>
      <c r="J27" s="8" t="n">
        <v>0</v>
      </c>
      <c r="K27" s="8">
        <f>G27+H27+I27+J27</f>
        <v/>
      </c>
      <c r="L27" s="9">
        <f>$B$3</f>
        <v/>
      </c>
      <c r="M27" s="9">
        <f>$B$4</f>
        <v/>
      </c>
      <c r="N27" s="8">
        <f>K27/(1-(L27+M27))</f>
        <v/>
      </c>
      <c r="O27" s="8">
        <f>ROUND(K27/(1-(L27+M27)),2)</f>
        <v/>
      </c>
      <c r="P27" s="8" t="n">
        <v>14.74</v>
      </c>
      <c r="Q27" s="7">
        <f>IF(N27&lt;P27,"低于亚马逊",IF(N27&lt;P27*1.1,"接近亚马逊","高于亚马逊"))</f>
        <v/>
      </c>
      <c r="R27" s="8">
        <f>ROUND(N27*$B$12,2)</f>
        <v/>
      </c>
      <c r="S27" s="9">
        <f>(O27-N27)/O27</f>
        <v/>
      </c>
      <c r="T27" s="9">
        <f>(N27-K27)/N27</f>
        <v/>
      </c>
      <c r="U27" s="9">
        <f>(N27-K27)/N27-$B$4</f>
        <v/>
      </c>
      <c r="V27" s="7" t="inlineStr">
        <is>
          <t>已匹配</t>
        </is>
      </c>
    </row>
    <row r="28">
      <c r="A28" s="7" t="inlineStr">
        <is>
          <t>SHOP-00027</t>
        </is>
      </c>
      <c r="B28" s="7" t="inlineStr">
        <is>
          <t>宠物零食袋 V1</t>
        </is>
      </c>
      <c r="C28" s="7" t="inlineStr">
        <is>
          <t>PET-宠物-0027</t>
        </is>
      </c>
      <c r="D28" s="7" t="inlineStr">
        <is>
          <t>宠物喂食</t>
        </is>
      </c>
      <c r="E28" s="7" t="n">
        <v>4</v>
      </c>
      <c r="F28" s="7" t="inlineStr">
        <is>
          <t>有货</t>
        </is>
      </c>
      <c r="G28" s="8" t="n">
        <v>17.4</v>
      </c>
      <c r="H28" s="8" t="n">
        <v>8.970000000000001</v>
      </c>
      <c r="I28" s="8" t="n">
        <v>0</v>
      </c>
      <c r="J28" s="8" t="n">
        <v>0</v>
      </c>
      <c r="K28" s="8">
        <f>G28+H28+I28+J28</f>
        <v/>
      </c>
      <c r="L28" s="9">
        <f>$B$3</f>
        <v/>
      </c>
      <c r="M28" s="9">
        <f>$B$4</f>
        <v/>
      </c>
      <c r="N28" s="8">
        <f>K28/(1-(L28+M28))</f>
        <v/>
      </c>
      <c r="O28" s="8">
        <f>ROUND(K28/(1-(L28+M28)),2)</f>
        <v/>
      </c>
      <c r="P28" s="8" t="n">
        <v>59.21</v>
      </c>
      <c r="Q28" s="7">
        <f>IF(N28&lt;P28,"低于亚马逊",IF(N28&lt;P28*1.1,"接近亚马逊","高于亚马逊"))</f>
        <v/>
      </c>
      <c r="R28" s="8">
        <f>ROUND(N28*$B$12,2)</f>
        <v/>
      </c>
      <c r="S28" s="9">
        <f>(O28-N28)/O28</f>
        <v/>
      </c>
      <c r="T28" s="9">
        <f>(N28-K28)/N28</f>
        <v/>
      </c>
      <c r="U28" s="9">
        <f>(N28-K28)/N28-$B$4</f>
        <v/>
      </c>
      <c r="V28" s="7" t="inlineStr">
        <is>
          <t>已匹配</t>
        </is>
      </c>
    </row>
    <row r="29">
      <c r="A29" s="7" t="inlineStr">
        <is>
          <t>SHOP-00028</t>
        </is>
      </c>
      <c r="B29" s="7" t="inlineStr">
        <is>
          <t>宠物玩具球 V1</t>
        </is>
      </c>
      <c r="C29" s="7" t="inlineStr">
        <is>
          <t>PET-宠物-0028</t>
        </is>
      </c>
      <c r="D29" s="7" t="inlineStr">
        <is>
          <t>宠物出行</t>
        </is>
      </c>
      <c r="E29" s="7" t="n">
        <v>1</v>
      </c>
      <c r="F29" s="7" t="inlineStr">
        <is>
          <t>有货</t>
        </is>
      </c>
      <c r="G29" s="8" t="n">
        <v>41.52</v>
      </c>
      <c r="H29" s="8" t="n">
        <v>15</v>
      </c>
      <c r="I29" s="8" t="n">
        <v>0</v>
      </c>
      <c r="J29" s="8" t="n">
        <v>0</v>
      </c>
      <c r="K29" s="8">
        <f>G29+H29+I29+J29</f>
        <v/>
      </c>
      <c r="L29" s="9">
        <f>$B$3</f>
        <v/>
      </c>
      <c r="M29" s="9">
        <f>$B$4</f>
        <v/>
      </c>
      <c r="N29" s="8">
        <f>K29/(1-(L29+M29))</f>
        <v/>
      </c>
      <c r="O29" s="8">
        <f>ROUND(K29/(1-(L29+M29)),2)</f>
        <v/>
      </c>
      <c r="P29" s="8" t="n">
        <v>145.12</v>
      </c>
      <c r="Q29" s="7">
        <f>IF(N29&lt;P29,"低于亚马逊",IF(N29&lt;P29*1.1,"接近亚马逊","高于亚马逊"))</f>
        <v/>
      </c>
      <c r="R29" s="8">
        <f>ROUND(N29*$B$12,2)</f>
        <v/>
      </c>
      <c r="S29" s="9">
        <f>(O29-N29)/O29</f>
        <v/>
      </c>
      <c r="T29" s="9">
        <f>(N29-K29)/N29</f>
        <v/>
      </c>
      <c r="U29" s="9">
        <f>(N29-K29)/N29-$B$4</f>
        <v/>
      </c>
      <c r="V29" s="7" t="inlineStr">
        <is>
          <t>已匹配</t>
        </is>
      </c>
    </row>
    <row r="30">
      <c r="A30" s="7" t="inlineStr">
        <is>
          <t>SHOP-00029</t>
        </is>
      </c>
      <c r="B30" s="7" t="inlineStr">
        <is>
          <t>宠物毛绒玩偶 V1</t>
        </is>
      </c>
      <c r="C30" s="7" t="inlineStr">
        <is>
          <t>PET-宠物-0029</t>
        </is>
      </c>
      <c r="D30" s="7" t="inlineStr">
        <is>
          <t>宠物清洁</t>
        </is>
      </c>
      <c r="E30" s="7" t="n">
        <v>2</v>
      </c>
      <c r="F30" s="7" t="inlineStr">
        <is>
          <t>有货</t>
        </is>
      </c>
      <c r="G30" s="8" t="n">
        <v>16.54</v>
      </c>
      <c r="H30" s="8" t="n">
        <v>8.970000000000001</v>
      </c>
      <c r="I30" s="8" t="n">
        <v>0</v>
      </c>
      <c r="J30" s="8" t="n">
        <v>0</v>
      </c>
      <c r="K30" s="8">
        <f>G30+H30+I30+J30</f>
        <v/>
      </c>
      <c r="L30" s="9">
        <f>$B$3</f>
        <v/>
      </c>
      <c r="M30" s="9">
        <f>$B$4</f>
        <v/>
      </c>
      <c r="N30" s="8">
        <f>K30/(1-(L30+M30))</f>
        <v/>
      </c>
      <c r="O30" s="8">
        <f>ROUND(K30/(1-(L30+M30)),2)</f>
        <v/>
      </c>
      <c r="P30" s="8" t="n">
        <v>50.85</v>
      </c>
      <c r="Q30" s="7">
        <f>IF(N30&lt;P30,"低于亚马逊",IF(N30&lt;P30*1.1,"接近亚马逊","高于亚马逊"))</f>
        <v/>
      </c>
      <c r="R30" s="8">
        <f>ROUND(N30*$B$12,2)</f>
        <v/>
      </c>
      <c r="S30" s="9">
        <f>(O30-N30)/O30</f>
        <v/>
      </c>
      <c r="T30" s="9">
        <f>(N30-K30)/N30</f>
        <v/>
      </c>
      <c r="U30" s="9">
        <f>(N30-K30)/N30-$B$4</f>
        <v/>
      </c>
      <c r="V30" s="7" t="inlineStr">
        <is>
          <t>已匹配</t>
        </is>
      </c>
    </row>
    <row r="31">
      <c r="A31" s="7" t="inlineStr">
        <is>
          <t>SHOP-00030</t>
        </is>
      </c>
      <c r="B31" s="7" t="inlineStr">
        <is>
          <t>宠物猫爬架配件 V1</t>
        </is>
      </c>
      <c r="C31" s="7" t="inlineStr">
        <is>
          <t>PET-宠物-0030</t>
        </is>
      </c>
      <c r="D31" s="7" t="inlineStr">
        <is>
          <t>宠物服饰</t>
        </is>
      </c>
      <c r="E31" s="7" t="n">
        <v>3</v>
      </c>
      <c r="F31" s="7" t="inlineStr">
        <is>
          <t>有货</t>
        </is>
      </c>
      <c r="G31" s="8" t="n">
        <v>7.12</v>
      </c>
      <c r="H31" s="8" t="n">
        <v>6.44</v>
      </c>
      <c r="I31" s="8" t="n">
        <v>0</v>
      </c>
      <c r="J31" s="8" t="n">
        <v>0</v>
      </c>
      <c r="K31" s="8">
        <f>G31+H31+I31+J31</f>
        <v/>
      </c>
      <c r="L31" s="9">
        <f>$B$3</f>
        <v/>
      </c>
      <c r="M31" s="9">
        <f>$B$4</f>
        <v/>
      </c>
      <c r="N31" s="8">
        <f>K31/(1-(L31+M31))</f>
        <v/>
      </c>
      <c r="O31" s="8">
        <f>ROUND(K31/(1-(L31+M31)),2)</f>
        <v/>
      </c>
      <c r="P31" s="8" t="n">
        <v>18.43</v>
      </c>
      <c r="Q31" s="7">
        <f>IF(N31&lt;P31,"低于亚马逊",IF(N31&lt;P31*1.1,"接近亚马逊","高于亚马逊"))</f>
        <v/>
      </c>
      <c r="R31" s="8">
        <f>ROUND(N31*$B$12,2)</f>
        <v/>
      </c>
      <c r="S31" s="9">
        <f>(O31-N31)/O31</f>
        <v/>
      </c>
      <c r="T31" s="9">
        <f>(N31-K31)/N31</f>
        <v/>
      </c>
      <c r="U31" s="9">
        <f>(N31-K31)/N31-$B$4</f>
        <v/>
      </c>
      <c r="V31" s="7" t="inlineStr">
        <is>
          <t>已匹配</t>
        </is>
      </c>
    </row>
    <row r="32">
      <c r="A32" s="7" t="inlineStr">
        <is>
          <t>SHOP-00031</t>
        </is>
      </c>
      <c r="B32" s="7" t="inlineStr">
        <is>
          <t>宠物狗垫子 V1</t>
        </is>
      </c>
      <c r="C32" s="7" t="inlineStr">
        <is>
          <t>PET-宠物-0031</t>
        </is>
      </c>
      <c r="D32" s="7" t="inlineStr">
        <is>
          <t>宠物美容</t>
        </is>
      </c>
      <c r="E32" s="7" t="n">
        <v>3</v>
      </c>
      <c r="F32" s="7" t="inlineStr">
        <is>
          <t>有货</t>
        </is>
      </c>
      <c r="G32" s="8" t="n">
        <v>43.99</v>
      </c>
      <c r="H32" s="8" t="n">
        <v>15</v>
      </c>
      <c r="I32" s="8" t="n">
        <v>0</v>
      </c>
      <c r="J32" s="8" t="n">
        <v>0</v>
      </c>
      <c r="K32" s="8">
        <f>G32+H32+I32+J32</f>
        <v/>
      </c>
      <c r="L32" s="9">
        <f>$B$3</f>
        <v/>
      </c>
      <c r="M32" s="9">
        <f>$B$4</f>
        <v/>
      </c>
      <c r="N32" s="8">
        <f>K32/(1-(L32+M32))</f>
        <v/>
      </c>
      <c r="O32" s="8">
        <f>ROUND(K32/(1-(L32+M32)),2)</f>
        <v/>
      </c>
      <c r="P32" s="8" t="n">
        <v>146.56</v>
      </c>
      <c r="Q32" s="7">
        <f>IF(N32&lt;P32,"低于亚马逊",IF(N32&lt;P32*1.1,"接近亚马逊","高于亚马逊"))</f>
        <v/>
      </c>
      <c r="R32" s="8">
        <f>ROUND(N32*$B$12,2)</f>
        <v/>
      </c>
      <c r="S32" s="9">
        <f>(O32-N32)/O32</f>
        <v/>
      </c>
      <c r="T32" s="9">
        <f>(N32-K32)/N32</f>
        <v/>
      </c>
      <c r="U32" s="9">
        <f>(N32-K32)/N32-$B$4</f>
        <v/>
      </c>
      <c r="V32" s="7" t="inlineStr">
        <is>
          <t>已匹配</t>
        </is>
      </c>
    </row>
    <row r="33">
      <c r="A33" s="7" t="inlineStr">
        <is>
          <t>SHOP-00032</t>
        </is>
      </c>
      <c r="B33" s="7" t="inlineStr">
        <is>
          <t>宠物推车雨棚 V1</t>
        </is>
      </c>
      <c r="C33" s="7" t="inlineStr">
        <is>
          <t>PET-宠物-0032</t>
        </is>
      </c>
      <c r="D33" s="7" t="inlineStr">
        <is>
          <t>宠物玩具</t>
        </is>
      </c>
      <c r="E33" s="7" t="n">
        <v>2</v>
      </c>
      <c r="F33" s="7" t="inlineStr">
        <is>
          <t>缺货</t>
        </is>
      </c>
      <c r="G33" s="8" t="n">
        <v>38.23</v>
      </c>
      <c r="H33" s="8" t="n">
        <v>15</v>
      </c>
      <c r="I33" s="8" t="n">
        <v>0</v>
      </c>
      <c r="J33" s="8" t="n">
        <v>0</v>
      </c>
      <c r="K33" s="8">
        <f>G33+H33+I33+J33</f>
        <v/>
      </c>
      <c r="L33" s="9">
        <f>$B$3</f>
        <v/>
      </c>
      <c r="M33" s="9">
        <f>$B$4</f>
        <v/>
      </c>
      <c r="N33" s="8">
        <f>K33/(1-(L33+M33))</f>
        <v/>
      </c>
      <c r="O33" s="8">
        <f>ROUND(K33/(1-(L33+M33)),2)</f>
        <v/>
      </c>
      <c r="P33" s="8" t="n">
        <v>126.65</v>
      </c>
      <c r="Q33" s="7">
        <f>IF(N33&lt;P33,"低于亚马逊",IF(N33&lt;P33*1.1,"接近亚马逊","高于亚马逊"))</f>
        <v/>
      </c>
      <c r="R33" s="8">
        <f>ROUND(N33*$B$12,2)</f>
        <v/>
      </c>
      <c r="S33" s="9">
        <f>(O33-N33)/O33</f>
        <v/>
      </c>
      <c r="T33" s="9">
        <f>(N33-K33)/N33</f>
        <v/>
      </c>
      <c r="U33" s="9">
        <f>(N33-K33)/N33-$B$4</f>
        <v/>
      </c>
      <c r="V33" s="7" t="inlineStr">
        <is>
          <t>已匹配</t>
        </is>
      </c>
    </row>
    <row r="34">
      <c r="A34" s="7" t="inlineStr">
        <is>
          <t>SHOP-00033</t>
        </is>
      </c>
      <c r="B34" s="7" t="inlineStr">
        <is>
          <t>宠物外出水杯 V1</t>
        </is>
      </c>
      <c r="C34" s="7" t="inlineStr">
        <is>
          <t>PET-宠物-0033</t>
        </is>
      </c>
      <c r="D34" s="7" t="inlineStr">
        <is>
          <t>宠物喂食</t>
        </is>
      </c>
      <c r="E34" s="7" t="n">
        <v>1</v>
      </c>
      <c r="F34" s="7" t="inlineStr">
        <is>
          <t>有货</t>
        </is>
      </c>
      <c r="G34" s="8" t="n">
        <v>33.55</v>
      </c>
      <c r="H34" s="8" t="n">
        <v>15</v>
      </c>
      <c r="I34" s="8" t="n">
        <v>0</v>
      </c>
      <c r="J34" s="8" t="n">
        <v>0</v>
      </c>
      <c r="K34" s="8">
        <f>G34+H34+I34+J34</f>
        <v/>
      </c>
      <c r="L34" s="9">
        <f>$B$3</f>
        <v/>
      </c>
      <c r="M34" s="9">
        <f>$B$4</f>
        <v/>
      </c>
      <c r="N34" s="8">
        <f>K34/(1-(L34+M34))</f>
        <v/>
      </c>
      <c r="O34" s="8">
        <f>ROUND(K34/(1-(L34+M34)),2)</f>
        <v/>
      </c>
      <c r="P34" s="8" t="n">
        <v>85.94</v>
      </c>
      <c r="Q34" s="7">
        <f>IF(N34&lt;P34,"低于亚马逊",IF(N34&lt;P34*1.1,"接近亚马逊","高于亚马逊"))</f>
        <v/>
      </c>
      <c r="R34" s="8">
        <f>ROUND(N34*$B$12,2)</f>
        <v/>
      </c>
      <c r="S34" s="9">
        <f>(O34-N34)/O34</f>
        <v/>
      </c>
      <c r="T34" s="9">
        <f>(N34-K34)/N34</f>
        <v/>
      </c>
      <c r="U34" s="9">
        <f>(N34-K34)/N34-$B$4</f>
        <v/>
      </c>
      <c r="V34" s="7" t="inlineStr">
        <is>
          <t>已匹配</t>
        </is>
      </c>
    </row>
    <row r="35">
      <c r="A35" s="7" t="inlineStr">
        <is>
          <t>SHOP-00034</t>
        </is>
      </c>
      <c r="B35" s="7" t="inlineStr">
        <is>
          <t>宠物驱虫滴剂 V1</t>
        </is>
      </c>
      <c r="C35" s="7" t="inlineStr">
        <is>
          <t>PET-宠物-0034</t>
        </is>
      </c>
      <c r="D35" s="7" t="inlineStr">
        <is>
          <t>宠物出行</t>
        </is>
      </c>
      <c r="E35" s="7" t="n">
        <v>4</v>
      </c>
      <c r="F35" s="7" t="inlineStr">
        <is>
          <t>有货</t>
        </is>
      </c>
      <c r="G35" s="8" t="n">
        <v>44.76</v>
      </c>
      <c r="H35" s="8" t="n">
        <v>15</v>
      </c>
      <c r="I35" s="8" t="n">
        <v>0</v>
      </c>
      <c r="J35" s="8" t="n">
        <v>0</v>
      </c>
      <c r="K35" s="8">
        <f>G35+H35+I35+J35</f>
        <v/>
      </c>
      <c r="L35" s="9">
        <f>$B$3</f>
        <v/>
      </c>
      <c r="M35" s="9">
        <f>$B$4</f>
        <v/>
      </c>
      <c r="N35" s="8">
        <f>K35/(1-(L35+M35))</f>
        <v/>
      </c>
      <c r="O35" s="8">
        <f>ROUND(K35/(1-(L35+M35)),2)</f>
        <v/>
      </c>
      <c r="P35" s="8" t="n">
        <v>154.64</v>
      </c>
      <c r="Q35" s="7">
        <f>IF(N35&lt;P35,"低于亚马逊",IF(N35&lt;P35*1.1,"接近亚马逊","高于亚马逊"))</f>
        <v/>
      </c>
      <c r="R35" s="8">
        <f>ROUND(N35*$B$12,2)</f>
        <v/>
      </c>
      <c r="S35" s="9">
        <f>(O35-N35)/O35</f>
        <v/>
      </c>
      <c r="T35" s="9">
        <f>(N35-K35)/N35</f>
        <v/>
      </c>
      <c r="U35" s="9">
        <f>(N35-K35)/N35-$B$4</f>
        <v/>
      </c>
      <c r="V35" s="7" t="inlineStr">
        <is>
          <t>已匹配</t>
        </is>
      </c>
    </row>
    <row r="36">
      <c r="A36" s="7" t="inlineStr">
        <is>
          <t>SHOP-00035</t>
        </is>
      </c>
      <c r="B36" s="7" t="inlineStr">
        <is>
          <t>宠物耳部清洁液 V1</t>
        </is>
      </c>
      <c r="C36" s="7" t="inlineStr">
        <is>
          <t>PET-宠物-0035</t>
        </is>
      </c>
      <c r="D36" s="7" t="inlineStr">
        <is>
          <t>宠物清洁</t>
        </is>
      </c>
      <c r="E36" s="7" t="n">
        <v>4</v>
      </c>
      <c r="F36" s="7" t="inlineStr">
        <is>
          <t>缺货</t>
        </is>
      </c>
      <c r="G36" s="8" t="n">
        <v>9.640000000000001</v>
      </c>
      <c r="H36" s="8" t="n">
        <v>6.44</v>
      </c>
      <c r="I36" s="8" t="n">
        <v>0</v>
      </c>
      <c r="J36" s="8" t="n">
        <v>0</v>
      </c>
      <c r="K36" s="8">
        <f>G36+H36+I36+J36</f>
        <v/>
      </c>
      <c r="L36" s="9">
        <f>$B$3</f>
        <v/>
      </c>
      <c r="M36" s="9">
        <f>$B$4</f>
        <v/>
      </c>
      <c r="N36" s="8">
        <f>K36/(1-(L36+M36))</f>
        <v/>
      </c>
      <c r="O36" s="8">
        <f>ROUND(K36/(1-(L36+M36)),2)</f>
        <v/>
      </c>
      <c r="P36" s="8" t="n">
        <v>30.87</v>
      </c>
      <c r="Q36" s="7">
        <f>IF(N36&lt;P36,"低于亚马逊",IF(N36&lt;P36*1.1,"接近亚马逊","高于亚马逊"))</f>
        <v/>
      </c>
      <c r="R36" s="8">
        <f>ROUND(N36*$B$12,2)</f>
        <v/>
      </c>
      <c r="S36" s="9">
        <f>(O36-N36)/O36</f>
        <v/>
      </c>
      <c r="T36" s="9">
        <f>(N36-K36)/N36</f>
        <v/>
      </c>
      <c r="U36" s="9">
        <f>(N36-K36)/N36-$B$4</f>
        <v/>
      </c>
      <c r="V36" s="7" t="inlineStr">
        <is>
          <t>已匹配</t>
        </is>
      </c>
    </row>
    <row r="37">
      <c r="A37" s="7" t="inlineStr">
        <is>
          <t>SHOP-00036</t>
        </is>
      </c>
      <c r="B37" s="7" t="inlineStr">
        <is>
          <t>宠物眼部护理液 V1</t>
        </is>
      </c>
      <c r="C37" s="7" t="inlineStr">
        <is>
          <t>PET-宠物-0036</t>
        </is>
      </c>
      <c r="D37" s="7" t="inlineStr">
        <is>
          <t>宠物服饰</t>
        </is>
      </c>
      <c r="E37" s="7" t="n">
        <v>4</v>
      </c>
      <c r="F37" s="7" t="inlineStr">
        <is>
          <t>缺货</t>
        </is>
      </c>
      <c r="G37" s="8" t="n">
        <v>3.61</v>
      </c>
      <c r="H37" s="8" t="n">
        <v>6.44</v>
      </c>
      <c r="I37" s="8" t="n">
        <v>0</v>
      </c>
      <c r="J37" s="8" t="n">
        <v>0</v>
      </c>
      <c r="K37" s="8">
        <f>G37+H37+I37+J37</f>
        <v/>
      </c>
      <c r="L37" s="9">
        <f>$B$3</f>
        <v/>
      </c>
      <c r="M37" s="9">
        <f>$B$4</f>
        <v/>
      </c>
      <c r="N37" s="8">
        <f>K37/(1-(L37+M37))</f>
        <v/>
      </c>
      <c r="O37" s="8">
        <f>ROUND(K37/(1-(L37+M37)),2)</f>
        <v/>
      </c>
      <c r="P37" s="8" t="n">
        <v>10.65</v>
      </c>
      <c r="Q37" s="7">
        <f>IF(N37&lt;P37,"低于亚马逊",IF(N37&lt;P37*1.1,"接近亚马逊","高于亚马逊"))</f>
        <v/>
      </c>
      <c r="R37" s="8">
        <f>ROUND(N37*$B$12,2)</f>
        <v/>
      </c>
      <c r="S37" s="9">
        <f>(O37-N37)/O37</f>
        <v/>
      </c>
      <c r="T37" s="9">
        <f>(N37-K37)/N37</f>
        <v/>
      </c>
      <c r="U37" s="9">
        <f>(N37-K37)/N37-$B$4</f>
        <v/>
      </c>
      <c r="V37" s="7" t="inlineStr">
        <is>
          <t>已匹配</t>
        </is>
      </c>
    </row>
    <row r="38">
      <c r="A38" s="7" t="inlineStr">
        <is>
          <t>SHOP-00037</t>
        </is>
      </c>
      <c r="B38" s="7" t="inlineStr">
        <is>
          <t>宠物益生菌粉 V1</t>
        </is>
      </c>
      <c r="C38" s="7" t="inlineStr">
        <is>
          <t>PET-宠物-0037</t>
        </is>
      </c>
      <c r="D38" s="7" t="inlineStr">
        <is>
          <t>宠物美容</t>
        </is>
      </c>
      <c r="E38" s="7" t="n">
        <v>4</v>
      </c>
      <c r="F38" s="7" t="inlineStr">
        <is>
          <t>缺货</t>
        </is>
      </c>
      <c r="G38" s="8" t="n">
        <v>41.07</v>
      </c>
      <c r="H38" s="8" t="n">
        <v>15</v>
      </c>
      <c r="I38" s="8" t="n">
        <v>0</v>
      </c>
      <c r="J38" s="8" t="n">
        <v>0</v>
      </c>
      <c r="K38" s="8">
        <f>G38+H38+I38+J38</f>
        <v/>
      </c>
      <c r="L38" s="9">
        <f>$B$3</f>
        <v/>
      </c>
      <c r="M38" s="9">
        <f>$B$4</f>
        <v/>
      </c>
      <c r="N38" s="8">
        <f>K38/(1-(L38+M38))</f>
        <v/>
      </c>
      <c r="O38" s="8">
        <f>ROUND(K38/(1-(L38+M38)),2)</f>
        <v/>
      </c>
      <c r="P38" s="8" t="n">
        <v>119.75</v>
      </c>
      <c r="Q38" s="7">
        <f>IF(N38&lt;P38,"低于亚马逊",IF(N38&lt;P38*1.1,"接近亚马逊","高于亚马逊"))</f>
        <v/>
      </c>
      <c r="R38" s="8">
        <f>ROUND(N38*$B$12,2)</f>
        <v/>
      </c>
      <c r="S38" s="9">
        <f>(O38-N38)/O38</f>
        <v/>
      </c>
      <c r="T38" s="9">
        <f>(N38-K38)/N38</f>
        <v/>
      </c>
      <c r="U38" s="9">
        <f>(N38-K38)/N38-$B$4</f>
        <v/>
      </c>
      <c r="V38" s="7" t="inlineStr">
        <is>
          <t>已匹配</t>
        </is>
      </c>
    </row>
    <row r="39">
      <c r="A39" s="7" t="inlineStr">
        <is>
          <t>SHOP-00038</t>
        </is>
      </c>
      <c r="B39" s="7" t="inlineStr">
        <is>
          <t>宠物钙片营养品 V1</t>
        </is>
      </c>
      <c r="C39" s="7" t="inlineStr">
        <is>
          <t>PET-宠物-0038</t>
        </is>
      </c>
      <c r="D39" s="7" t="inlineStr">
        <is>
          <t>宠物玩具</t>
        </is>
      </c>
      <c r="E39" s="7" t="n">
        <v>3</v>
      </c>
      <c r="F39" s="7" t="inlineStr">
        <is>
          <t>库存紧张</t>
        </is>
      </c>
      <c r="G39" s="8" t="n">
        <v>19.96</v>
      </c>
      <c r="H39" s="8" t="n">
        <v>8.970000000000001</v>
      </c>
      <c r="I39" s="8" t="n">
        <v>0</v>
      </c>
      <c r="J39" s="8" t="n">
        <v>0</v>
      </c>
      <c r="K39" s="8">
        <f>G39+H39+I39+J39</f>
        <v/>
      </c>
      <c r="L39" s="9">
        <f>$B$3</f>
        <v/>
      </c>
      <c r="M39" s="9">
        <f>$B$4</f>
        <v/>
      </c>
      <c r="N39" s="8">
        <f>K39/(1-(L39+M39))</f>
        <v/>
      </c>
      <c r="O39" s="8">
        <f>ROUND(K39/(1-(L39+M39)),2)</f>
        <v/>
      </c>
      <c r="P39" s="8" t="n">
        <v>57.58</v>
      </c>
      <c r="Q39" s="7">
        <f>IF(N39&lt;P39,"低于亚马逊",IF(N39&lt;P39*1.1,"接近亚马逊","高于亚马逊"))</f>
        <v/>
      </c>
      <c r="R39" s="8">
        <f>ROUND(N39*$B$12,2)</f>
        <v/>
      </c>
      <c r="S39" s="9">
        <f>(O39-N39)/O39</f>
        <v/>
      </c>
      <c r="T39" s="9">
        <f>(N39-K39)/N39</f>
        <v/>
      </c>
      <c r="U39" s="9">
        <f>(N39-K39)/N39-$B$4</f>
        <v/>
      </c>
      <c r="V39" s="7" t="inlineStr">
        <is>
          <t>已匹配</t>
        </is>
      </c>
    </row>
    <row r="40">
      <c r="A40" s="7" t="inlineStr">
        <is>
          <t>SHOP-00039</t>
        </is>
      </c>
      <c r="B40" s="7" t="inlineStr">
        <is>
          <t>宠物化毛膏 V1</t>
        </is>
      </c>
      <c r="C40" s="7" t="inlineStr">
        <is>
          <t>PET-宠物-0039</t>
        </is>
      </c>
      <c r="D40" s="7" t="inlineStr">
        <is>
          <t>宠物喂食</t>
        </is>
      </c>
      <c r="E40" s="7" t="n">
        <v>4</v>
      </c>
      <c r="F40" s="7" t="inlineStr">
        <is>
          <t>有货</t>
        </is>
      </c>
      <c r="G40" s="8" t="n">
        <v>44.89</v>
      </c>
      <c r="H40" s="8" t="n">
        <v>15</v>
      </c>
      <c r="I40" s="8" t="n">
        <v>0</v>
      </c>
      <c r="J40" s="8" t="n">
        <v>0</v>
      </c>
      <c r="K40" s="8">
        <f>G40+H40+I40+J40</f>
        <v/>
      </c>
      <c r="L40" s="9">
        <f>$B$3</f>
        <v/>
      </c>
      <c r="M40" s="9">
        <f>$B$4</f>
        <v/>
      </c>
      <c r="N40" s="8">
        <f>K40/(1-(L40+M40))</f>
        <v/>
      </c>
      <c r="O40" s="8">
        <f>ROUND(K40/(1-(L40+M40)),2)</f>
        <v/>
      </c>
      <c r="P40" s="8" t="n">
        <v>144.42</v>
      </c>
      <c r="Q40" s="7">
        <f>IF(N40&lt;P40,"低于亚马逊",IF(N40&lt;P40*1.1,"接近亚马逊","高于亚马逊"))</f>
        <v/>
      </c>
      <c r="R40" s="8">
        <f>ROUND(N40*$B$12,2)</f>
        <v/>
      </c>
      <c r="S40" s="9">
        <f>(O40-N40)/O40</f>
        <v/>
      </c>
      <c r="T40" s="9">
        <f>(N40-K40)/N40</f>
        <v/>
      </c>
      <c r="U40" s="9">
        <f>(N40-K40)/N40-$B$4</f>
        <v/>
      </c>
      <c r="V40" s="7" t="inlineStr">
        <is>
          <t>已匹配</t>
        </is>
      </c>
    </row>
    <row r="41">
      <c r="A41" s="7" t="inlineStr">
        <is>
          <t>SHOP-00040</t>
        </is>
      </c>
      <c r="B41" s="7" t="inlineStr">
        <is>
          <t>宠物湿巾 V1</t>
        </is>
      </c>
      <c r="C41" s="7" t="inlineStr">
        <is>
          <t>PET-宠物-0040</t>
        </is>
      </c>
      <c r="D41" s="7" t="inlineStr">
        <is>
          <t>宠物出行</t>
        </is>
      </c>
      <c r="E41" s="7" t="n">
        <v>4</v>
      </c>
      <c r="F41" s="7" t="inlineStr">
        <is>
          <t>有货</t>
        </is>
      </c>
      <c r="G41" s="8" t="n">
        <v>44.59</v>
      </c>
      <c r="H41" s="8" t="n">
        <v>15</v>
      </c>
      <c r="I41" s="8" t="n">
        <v>0</v>
      </c>
      <c r="J41" s="8" t="n">
        <v>0</v>
      </c>
      <c r="K41" s="8">
        <f>G41+H41+I41+J41</f>
        <v/>
      </c>
      <c r="L41" s="9">
        <f>$B$3</f>
        <v/>
      </c>
      <c r="M41" s="9">
        <f>$B$4</f>
        <v/>
      </c>
      <c r="N41" s="8">
        <f>K41/(1-(L41+M41))</f>
        <v/>
      </c>
      <c r="O41" s="8">
        <f>ROUND(K41/(1-(L41+M41)),2)</f>
        <v/>
      </c>
      <c r="P41" s="8" t="n">
        <v>135.61</v>
      </c>
      <c r="Q41" s="7">
        <f>IF(N41&lt;P41,"低于亚马逊",IF(N41&lt;P41*1.1,"接近亚马逊","高于亚马逊"))</f>
        <v/>
      </c>
      <c r="R41" s="8">
        <f>ROUND(N41*$B$12,2)</f>
        <v/>
      </c>
      <c r="S41" s="9">
        <f>(O41-N41)/O41</f>
        <v/>
      </c>
      <c r="T41" s="9">
        <f>(N41-K41)/N41</f>
        <v/>
      </c>
      <c r="U41" s="9">
        <f>(N41-K41)/N41-$B$4</f>
        <v/>
      </c>
      <c r="V41" s="7" t="inlineStr">
        <is>
          <t>已匹配</t>
        </is>
      </c>
    </row>
    <row r="42">
      <c r="A42" s="7" t="inlineStr">
        <is>
          <t>SHOP-00041</t>
        </is>
      </c>
      <c r="B42" s="7" t="inlineStr">
        <is>
          <t>宠物除臭喷雾 V1</t>
        </is>
      </c>
      <c r="C42" s="7" t="inlineStr">
        <is>
          <t>PET-宠物-0041</t>
        </is>
      </c>
      <c r="D42" s="7" t="inlineStr">
        <is>
          <t>宠物清洁</t>
        </is>
      </c>
      <c r="E42" s="7" t="n">
        <v>3</v>
      </c>
      <c r="F42" s="7" t="inlineStr">
        <is>
          <t>有货</t>
        </is>
      </c>
      <c r="G42" s="8" t="n">
        <v>35.95</v>
      </c>
      <c r="H42" s="8" t="n">
        <v>15</v>
      </c>
      <c r="I42" s="8" t="n">
        <v>0</v>
      </c>
      <c r="J42" s="8" t="n">
        <v>0</v>
      </c>
      <c r="K42" s="8">
        <f>G42+H42+I42+J42</f>
        <v/>
      </c>
      <c r="L42" s="9">
        <f>$B$3</f>
        <v/>
      </c>
      <c r="M42" s="9">
        <f>$B$4</f>
        <v/>
      </c>
      <c r="N42" s="8">
        <f>K42/(1-(L42+M42))</f>
        <v/>
      </c>
      <c r="O42" s="8">
        <f>ROUND(K42/(1-(L42+M42)),2)</f>
        <v/>
      </c>
      <c r="P42" s="8" t="n">
        <v>120.27</v>
      </c>
      <c r="Q42" s="7">
        <f>IF(N42&lt;P42,"低于亚马逊",IF(N42&lt;P42*1.1,"接近亚马逊","高于亚马逊"))</f>
        <v/>
      </c>
      <c r="R42" s="8">
        <f>ROUND(N42*$B$12,2)</f>
        <v/>
      </c>
      <c r="S42" s="9">
        <f>(O42-N42)/O42</f>
        <v/>
      </c>
      <c r="T42" s="9">
        <f>(N42-K42)/N42</f>
        <v/>
      </c>
      <c r="U42" s="9">
        <f>(N42-K42)/N42-$B$4</f>
        <v/>
      </c>
      <c r="V42" s="7" t="inlineStr">
        <is>
          <t>已匹配</t>
        </is>
      </c>
    </row>
    <row r="43">
      <c r="A43" s="7" t="inlineStr">
        <is>
          <t>SHOP-00042</t>
        </is>
      </c>
      <c r="B43" s="7" t="inlineStr">
        <is>
          <t>宠物消毒湿巾 V1</t>
        </is>
      </c>
      <c r="C43" s="7" t="inlineStr">
        <is>
          <t>PET-宠物-0042</t>
        </is>
      </c>
      <c r="D43" s="7" t="inlineStr">
        <is>
          <t>宠物服饰</t>
        </is>
      </c>
      <c r="E43" s="7" t="n">
        <v>3</v>
      </c>
      <c r="F43" s="7" t="inlineStr">
        <is>
          <t>缺货</t>
        </is>
      </c>
      <c r="G43" s="8" t="n">
        <v>2.15</v>
      </c>
      <c r="H43" s="8" t="n">
        <v>6.44</v>
      </c>
      <c r="I43" s="8" t="n">
        <v>0</v>
      </c>
      <c r="J43" s="8" t="n">
        <v>0</v>
      </c>
      <c r="K43" s="8">
        <f>G43+H43+I43+J43</f>
        <v/>
      </c>
      <c r="L43" s="9">
        <f>$B$3</f>
        <v/>
      </c>
      <c r="M43" s="9">
        <f>$B$4</f>
        <v/>
      </c>
      <c r="N43" s="8">
        <f>K43/(1-(L43+M43))</f>
        <v/>
      </c>
      <c r="O43" s="8">
        <f>ROUND(K43/(1-(L43+M43)),2)</f>
        <v/>
      </c>
      <c r="P43" s="8" t="n">
        <v>7.31</v>
      </c>
      <c r="Q43" s="7">
        <f>IF(N43&lt;P43,"低于亚马逊",IF(N43&lt;P43*1.1,"接近亚马逊","高于亚马逊"))</f>
        <v/>
      </c>
      <c r="R43" s="8">
        <f>ROUND(N43*$B$12,2)</f>
        <v/>
      </c>
      <c r="S43" s="9">
        <f>(O43-N43)/O43</f>
        <v/>
      </c>
      <c r="T43" s="9">
        <f>(N43-K43)/N43</f>
        <v/>
      </c>
      <c r="U43" s="9">
        <f>(N43-K43)/N43-$B$4</f>
        <v/>
      </c>
      <c r="V43" s="7" t="inlineStr">
        <is>
          <t>已匹配</t>
        </is>
      </c>
    </row>
    <row r="44">
      <c r="A44" s="7" t="inlineStr">
        <is>
          <t>SHOP-00043</t>
        </is>
      </c>
      <c r="B44" s="7" t="inlineStr">
        <is>
          <t>宠物粘毛器 V1</t>
        </is>
      </c>
      <c r="C44" s="7" t="inlineStr">
        <is>
          <t>PET-宠物-0043</t>
        </is>
      </c>
      <c r="D44" s="7" t="inlineStr">
        <is>
          <t>宠物美容</t>
        </is>
      </c>
      <c r="E44" s="7" t="n">
        <v>1</v>
      </c>
      <c r="F44" s="7" t="inlineStr">
        <is>
          <t>有货</t>
        </is>
      </c>
      <c r="G44" s="8" t="n">
        <v>2.22</v>
      </c>
      <c r="H44" s="8" t="n">
        <v>6.44</v>
      </c>
      <c r="I44" s="8" t="n">
        <v>0</v>
      </c>
      <c r="J44" s="8" t="n">
        <v>0</v>
      </c>
      <c r="K44" s="8">
        <f>G44+H44+I44+J44</f>
        <v/>
      </c>
      <c r="L44" s="9">
        <f>$B$3</f>
        <v/>
      </c>
      <c r="M44" s="9">
        <f>$B$4</f>
        <v/>
      </c>
      <c r="N44" s="8">
        <f>K44/(1-(L44+M44))</f>
        <v/>
      </c>
      <c r="O44" s="8">
        <f>ROUND(K44/(1-(L44+M44)),2)</f>
        <v/>
      </c>
      <c r="P44" s="8" t="n">
        <v>6.25</v>
      </c>
      <c r="Q44" s="7">
        <f>IF(N44&lt;P44,"低于亚马逊",IF(N44&lt;P44*1.1,"接近亚马逊","高于亚马逊"))</f>
        <v/>
      </c>
      <c r="R44" s="8">
        <f>ROUND(N44*$B$12,2)</f>
        <v/>
      </c>
      <c r="S44" s="9">
        <f>(O44-N44)/O44</f>
        <v/>
      </c>
      <c r="T44" s="9">
        <f>(N44-K44)/N44</f>
        <v/>
      </c>
      <c r="U44" s="9">
        <f>(N44-K44)/N44-$B$4</f>
        <v/>
      </c>
      <c r="V44" s="7" t="inlineStr">
        <is>
          <t>已匹配</t>
        </is>
      </c>
    </row>
    <row r="45">
      <c r="A45" s="7" t="inlineStr">
        <is>
          <t>SHOP-00044</t>
        </is>
      </c>
      <c r="B45" s="7" t="inlineStr">
        <is>
          <t>宠物吸毛器 V1</t>
        </is>
      </c>
      <c r="C45" s="7" t="inlineStr">
        <is>
          <t>PET-宠物-0044</t>
        </is>
      </c>
      <c r="D45" s="7" t="inlineStr">
        <is>
          <t>宠物玩具</t>
        </is>
      </c>
      <c r="E45" s="7" t="n">
        <v>4</v>
      </c>
      <c r="F45" s="7" t="inlineStr">
        <is>
          <t>有货</t>
        </is>
      </c>
      <c r="G45" s="8" t="n">
        <v>38.91</v>
      </c>
      <c r="H45" s="8" t="n">
        <v>15</v>
      </c>
      <c r="I45" s="8" t="n">
        <v>0</v>
      </c>
      <c r="J45" s="8" t="n">
        <v>0</v>
      </c>
      <c r="K45" s="8">
        <f>G45+H45+I45+J45</f>
        <v/>
      </c>
      <c r="L45" s="9">
        <f>$B$3</f>
        <v/>
      </c>
      <c r="M45" s="9">
        <f>$B$4</f>
        <v/>
      </c>
      <c r="N45" s="8">
        <f>K45/(1-(L45+M45))</f>
        <v/>
      </c>
      <c r="O45" s="8">
        <f>ROUND(K45/(1-(L45+M45)),2)</f>
        <v/>
      </c>
      <c r="P45" s="8" t="n">
        <v>119.68</v>
      </c>
      <c r="Q45" s="7">
        <f>IF(N45&lt;P45,"低于亚马逊",IF(N45&lt;P45*1.1,"接近亚马逊","高于亚马逊"))</f>
        <v/>
      </c>
      <c r="R45" s="8">
        <f>ROUND(N45*$B$12,2)</f>
        <v/>
      </c>
      <c r="S45" s="9">
        <f>(O45-N45)/O45</f>
        <v/>
      </c>
      <c r="T45" s="9">
        <f>(N45-K45)/N45</f>
        <v/>
      </c>
      <c r="U45" s="9">
        <f>(N45-K45)/N45-$B$4</f>
        <v/>
      </c>
      <c r="V45" s="7" t="inlineStr">
        <is>
          <t>已匹配</t>
        </is>
      </c>
    </row>
    <row r="46">
      <c r="A46" s="7" t="inlineStr">
        <is>
          <t>SHOP-00045</t>
        </is>
      </c>
      <c r="B46" s="7" t="inlineStr">
        <is>
          <t>宠物梳子套装 V1</t>
        </is>
      </c>
      <c r="C46" s="7" t="inlineStr">
        <is>
          <t>PET-宠物-0045</t>
        </is>
      </c>
      <c r="D46" s="7" t="inlineStr">
        <is>
          <t>宠物喂食</t>
        </is>
      </c>
      <c r="E46" s="7" t="n">
        <v>1</v>
      </c>
      <c r="F46" s="7" t="inlineStr">
        <is>
          <t>有货</t>
        </is>
      </c>
      <c r="G46" s="8" t="n">
        <v>9.66</v>
      </c>
      <c r="H46" s="8" t="n">
        <v>6.44</v>
      </c>
      <c r="I46" s="8" t="n">
        <v>0</v>
      </c>
      <c r="J46" s="8" t="n">
        <v>0</v>
      </c>
      <c r="K46" s="8">
        <f>G46+H46+I46+J46</f>
        <v/>
      </c>
      <c r="L46" s="9">
        <f>$B$3</f>
        <v/>
      </c>
      <c r="M46" s="9">
        <f>$B$4</f>
        <v/>
      </c>
      <c r="N46" s="8">
        <f>K46/(1-(L46+M46))</f>
        <v/>
      </c>
      <c r="O46" s="8">
        <f>ROUND(K46/(1-(L46+M46)),2)</f>
        <v/>
      </c>
      <c r="P46" s="8" t="n">
        <v>27.76</v>
      </c>
      <c r="Q46" s="7">
        <f>IF(N46&lt;P46,"低于亚马逊",IF(N46&lt;P46*1.1,"接近亚马逊","高于亚马逊"))</f>
        <v/>
      </c>
      <c r="R46" s="8">
        <f>ROUND(N46*$B$12,2)</f>
        <v/>
      </c>
      <c r="S46" s="9">
        <f>(O46-N46)/O46</f>
        <v/>
      </c>
      <c r="T46" s="9">
        <f>(N46-K46)/N46</f>
        <v/>
      </c>
      <c r="U46" s="9">
        <f>(N46-K46)/N46-$B$4</f>
        <v/>
      </c>
      <c r="V46" s="7" t="inlineStr">
        <is>
          <t>已匹配</t>
        </is>
      </c>
    </row>
    <row r="47">
      <c r="A47" s="7" t="inlineStr">
        <is>
          <t>SHOP-00046</t>
        </is>
      </c>
      <c r="B47" s="7" t="inlineStr">
        <is>
          <t>宠物剪刀套装 V1</t>
        </is>
      </c>
      <c r="C47" s="7" t="inlineStr">
        <is>
          <t>PET-宠物-0046</t>
        </is>
      </c>
      <c r="D47" s="7" t="inlineStr">
        <is>
          <t>宠物出行</t>
        </is>
      </c>
      <c r="E47" s="7" t="n">
        <v>4</v>
      </c>
      <c r="F47" s="7" t="inlineStr">
        <is>
          <t>有货</t>
        </is>
      </c>
      <c r="G47" s="8" t="n">
        <v>16.46</v>
      </c>
      <c r="H47" s="8" t="n">
        <v>8.970000000000001</v>
      </c>
      <c r="I47" s="8" t="n">
        <v>0</v>
      </c>
      <c r="J47" s="8" t="n">
        <v>0</v>
      </c>
      <c r="K47" s="8">
        <f>G47+H47+I47+J47</f>
        <v/>
      </c>
      <c r="L47" s="9">
        <f>$B$3</f>
        <v/>
      </c>
      <c r="M47" s="9">
        <f>$B$4</f>
        <v/>
      </c>
      <c r="N47" s="8">
        <f>K47/(1-(L47+M47))</f>
        <v/>
      </c>
      <c r="O47" s="8">
        <f>ROUND(K47/(1-(L47+M47)),2)</f>
        <v/>
      </c>
      <c r="P47" s="8" t="n">
        <v>56</v>
      </c>
      <c r="Q47" s="7">
        <f>IF(N47&lt;P47,"低于亚马逊",IF(N47&lt;P47*1.1,"接近亚马逊","高于亚马逊"))</f>
        <v/>
      </c>
      <c r="R47" s="8">
        <f>ROUND(N47*$B$12,2)</f>
        <v/>
      </c>
      <c r="S47" s="9">
        <f>(O47-N47)/O47</f>
        <v/>
      </c>
      <c r="T47" s="9">
        <f>(N47-K47)/N47</f>
        <v/>
      </c>
      <c r="U47" s="9">
        <f>(N47-K47)/N47-$B$4</f>
        <v/>
      </c>
      <c r="V47" s="7" t="inlineStr">
        <is>
          <t>已匹配</t>
        </is>
      </c>
    </row>
    <row r="48">
      <c r="A48" s="7" t="inlineStr">
        <is>
          <t>SHOP-00047</t>
        </is>
      </c>
      <c r="B48" s="7" t="inlineStr">
        <is>
          <t>宠物吹风机 V1</t>
        </is>
      </c>
      <c r="C48" s="7" t="inlineStr">
        <is>
          <t>PET-宠物-0047</t>
        </is>
      </c>
      <c r="D48" s="7" t="inlineStr">
        <is>
          <t>宠物清洁</t>
        </is>
      </c>
      <c r="E48" s="7" t="n">
        <v>4</v>
      </c>
      <c r="F48" s="7" t="inlineStr">
        <is>
          <t>有货</t>
        </is>
      </c>
      <c r="G48" s="8" t="n">
        <v>15.46</v>
      </c>
      <c r="H48" s="8" t="n">
        <v>8.970000000000001</v>
      </c>
      <c r="I48" s="8" t="n">
        <v>0</v>
      </c>
      <c r="J48" s="8" t="n">
        <v>0</v>
      </c>
      <c r="K48" s="8">
        <f>G48+H48+I48+J48</f>
        <v/>
      </c>
      <c r="L48" s="9">
        <f>$B$3</f>
        <v/>
      </c>
      <c r="M48" s="9">
        <f>$B$4</f>
        <v/>
      </c>
      <c r="N48" s="8">
        <f>K48/(1-(L48+M48))</f>
        <v/>
      </c>
      <c r="O48" s="8">
        <f>ROUND(K48/(1-(L48+M48)),2)</f>
        <v/>
      </c>
      <c r="P48" s="8" t="n">
        <v>34.24</v>
      </c>
      <c r="Q48" s="7">
        <f>IF(N48&lt;P48,"低于亚马逊",IF(N48&lt;P48*1.1,"接近亚马逊","高于亚马逊"))</f>
        <v/>
      </c>
      <c r="R48" s="8">
        <f>ROUND(N48*$B$12,2)</f>
        <v/>
      </c>
      <c r="S48" s="9">
        <f>(O48-N48)/O48</f>
        <v/>
      </c>
      <c r="T48" s="9">
        <f>(N48-K48)/N48</f>
        <v/>
      </c>
      <c r="U48" s="9">
        <f>(N48-K48)/N48-$B$4</f>
        <v/>
      </c>
      <c r="V48" s="7" t="inlineStr">
        <is>
          <t>已匹配</t>
        </is>
      </c>
    </row>
    <row r="49">
      <c r="A49" s="7" t="inlineStr">
        <is>
          <t>SHOP-00048</t>
        </is>
      </c>
      <c r="B49" s="7" t="inlineStr">
        <is>
          <t>宠物烘干箱 V1</t>
        </is>
      </c>
      <c r="C49" s="7" t="inlineStr">
        <is>
          <t>PET-宠物-0048</t>
        </is>
      </c>
      <c r="D49" s="7" t="inlineStr">
        <is>
          <t>宠物服饰</t>
        </is>
      </c>
      <c r="E49" s="7" t="n">
        <v>1</v>
      </c>
      <c r="F49" s="7" t="inlineStr">
        <is>
          <t>缺货</t>
        </is>
      </c>
      <c r="G49" s="8" t="n">
        <v>41.84</v>
      </c>
      <c r="H49" s="8" t="n">
        <v>15</v>
      </c>
      <c r="I49" s="8" t="n">
        <v>0</v>
      </c>
      <c r="J49" s="8" t="n">
        <v>0</v>
      </c>
      <c r="K49" s="8">
        <f>G49+H49+I49+J49</f>
        <v/>
      </c>
      <c r="L49" s="9">
        <f>$B$3</f>
        <v/>
      </c>
      <c r="M49" s="9">
        <f>$B$4</f>
        <v/>
      </c>
      <c r="N49" s="8">
        <f>K49/(1-(L49+M49))</f>
        <v/>
      </c>
      <c r="O49" s="8">
        <f>ROUND(K49/(1-(L49+M49)),2)</f>
        <v/>
      </c>
      <c r="P49" s="8" t="n">
        <v>100.67</v>
      </c>
      <c r="Q49" s="7">
        <f>IF(N49&lt;P49,"低于亚马逊",IF(N49&lt;P49*1.1,"接近亚马逊","高于亚马逊"))</f>
        <v/>
      </c>
      <c r="R49" s="8">
        <f>ROUND(N49*$B$12,2)</f>
        <v/>
      </c>
      <c r="S49" s="9">
        <f>(O49-N49)/O49</f>
        <v/>
      </c>
      <c r="T49" s="9">
        <f>(N49-K49)/N49</f>
        <v/>
      </c>
      <c r="U49" s="9">
        <f>(N49-K49)/N49-$B$4</f>
        <v/>
      </c>
      <c r="V49" s="7" t="inlineStr">
        <is>
          <t>已匹配</t>
        </is>
      </c>
    </row>
    <row r="50">
      <c r="A50" s="7" t="inlineStr">
        <is>
          <t>SHOP-00049</t>
        </is>
      </c>
      <c r="B50" s="7" t="inlineStr">
        <is>
          <t>超声波宠物除毛刷 V2</t>
        </is>
      </c>
      <c r="C50" s="7" t="inlineStr">
        <is>
          <t>PET-宠物-0049</t>
        </is>
      </c>
      <c r="D50" s="7" t="inlineStr">
        <is>
          <t>宠物美容</t>
        </is>
      </c>
      <c r="E50" s="7" t="n">
        <v>4</v>
      </c>
      <c r="F50" s="7" t="inlineStr">
        <is>
          <t>有货</t>
        </is>
      </c>
      <c r="G50" s="8" t="n">
        <v>14.36</v>
      </c>
      <c r="H50" s="8" t="n">
        <v>8.970000000000001</v>
      </c>
      <c r="I50" s="8" t="n">
        <v>0</v>
      </c>
      <c r="J50" s="8" t="n">
        <v>0</v>
      </c>
      <c r="K50" s="8">
        <f>G50+H50+I50+J50</f>
        <v/>
      </c>
      <c r="L50" s="9">
        <f>$B$3</f>
        <v/>
      </c>
      <c r="M50" s="9">
        <f>$B$4</f>
        <v/>
      </c>
      <c r="N50" s="8">
        <f>K50/(1-(L50+M50))</f>
        <v/>
      </c>
      <c r="O50" s="8">
        <f>ROUND(K50/(1-(L50+M50)),2)</f>
        <v/>
      </c>
      <c r="P50" s="8" t="n">
        <v>43.46</v>
      </c>
      <c r="Q50" s="7">
        <f>IF(N50&lt;P50,"低于亚马逊",IF(N50&lt;P50*1.1,"接近亚马逊","高于亚马逊"))</f>
        <v/>
      </c>
      <c r="R50" s="8">
        <f>ROUND(N50*$B$12,2)</f>
        <v/>
      </c>
      <c r="S50" s="9">
        <f>(O50-N50)/O50</f>
        <v/>
      </c>
      <c r="T50" s="9">
        <f>(N50-K50)/N50</f>
        <v/>
      </c>
      <c r="U50" s="9">
        <f>(N50-K50)/N50-$B$4</f>
        <v/>
      </c>
      <c r="V50" s="7" t="inlineStr">
        <is>
          <t>已匹配</t>
        </is>
      </c>
    </row>
    <row r="51">
      <c r="A51" s="7" t="inlineStr">
        <is>
          <t>SHOP-00050</t>
        </is>
      </c>
      <c r="B51" s="7" t="inlineStr">
        <is>
          <t>智能宠物饮水机 V2</t>
        </is>
      </c>
      <c r="C51" s="7" t="inlineStr">
        <is>
          <t>PET-宠物-0050</t>
        </is>
      </c>
      <c r="D51" s="7" t="inlineStr">
        <is>
          <t>宠物玩具</t>
        </is>
      </c>
      <c r="E51" s="7" t="n">
        <v>1</v>
      </c>
      <c r="F51" s="7" t="inlineStr">
        <is>
          <t>有货</t>
        </is>
      </c>
      <c r="G51" s="8" t="n">
        <v>3.73</v>
      </c>
      <c r="H51" s="8" t="n">
        <v>6.44</v>
      </c>
      <c r="I51" s="8" t="n">
        <v>0</v>
      </c>
      <c r="J51" s="8" t="n">
        <v>0</v>
      </c>
      <c r="K51" s="8">
        <f>G51+H51+I51+J51</f>
        <v/>
      </c>
      <c r="L51" s="9">
        <f>$B$3</f>
        <v/>
      </c>
      <c r="M51" s="9">
        <f>$B$4</f>
        <v/>
      </c>
      <c r="N51" s="8">
        <f>K51/(1-(L51+M51))</f>
        <v/>
      </c>
      <c r="O51" s="8">
        <f>ROUND(K51/(1-(L51+M51)),2)</f>
        <v/>
      </c>
      <c r="P51" s="8" t="n">
        <v>8.880000000000001</v>
      </c>
      <c r="Q51" s="7">
        <f>IF(N51&lt;P51,"低于亚马逊",IF(N51&lt;P51*1.1,"接近亚马逊","高于亚马逊"))</f>
        <v/>
      </c>
      <c r="R51" s="8">
        <f>ROUND(N51*$B$12,2)</f>
        <v/>
      </c>
      <c r="S51" s="9">
        <f>(O51-N51)/O51</f>
        <v/>
      </c>
      <c r="T51" s="9">
        <f>(N51-K51)/N51</f>
        <v/>
      </c>
      <c r="U51" s="9">
        <f>(N51-K51)/N51-$B$4</f>
        <v/>
      </c>
      <c r="V51" s="7" t="inlineStr">
        <is>
          <t>已匹配</t>
        </is>
      </c>
    </row>
    <row r="52">
      <c r="A52" s="7" t="inlineStr">
        <is>
          <t>SHOP-00051</t>
        </is>
      </c>
      <c r="B52" s="7" t="inlineStr">
        <is>
          <t>宠物便携折叠笼 V2</t>
        </is>
      </c>
      <c r="C52" s="7" t="inlineStr">
        <is>
          <t>PET-宠物-0051</t>
        </is>
      </c>
      <c r="D52" s="7" t="inlineStr">
        <is>
          <t>宠物喂食</t>
        </is>
      </c>
      <c r="E52" s="7" t="n">
        <v>4</v>
      </c>
      <c r="F52" s="7" t="inlineStr">
        <is>
          <t>有货</t>
        </is>
      </c>
      <c r="G52" s="8" t="n">
        <v>43.4</v>
      </c>
      <c r="H52" s="8" t="n">
        <v>15</v>
      </c>
      <c r="I52" s="8" t="n">
        <v>0</v>
      </c>
      <c r="J52" s="8" t="n">
        <v>0</v>
      </c>
      <c r="K52" s="8">
        <f>G52+H52+I52+J52</f>
        <v/>
      </c>
      <c r="L52" s="9">
        <f>$B$3</f>
        <v/>
      </c>
      <c r="M52" s="9">
        <f>$B$4</f>
        <v/>
      </c>
      <c r="N52" s="8">
        <f>K52/(1-(L52+M52))</f>
        <v/>
      </c>
      <c r="O52" s="8">
        <f>ROUND(K52/(1-(L52+M52)),2)</f>
        <v/>
      </c>
      <c r="P52" s="8" t="n">
        <v>142.17</v>
      </c>
      <c r="Q52" s="7">
        <f>IF(N52&lt;P52,"低于亚马逊",IF(N52&lt;P52*1.1,"接近亚马逊","高于亚马逊"))</f>
        <v/>
      </c>
      <c r="R52" s="8">
        <f>ROUND(N52*$B$12,2)</f>
        <v/>
      </c>
      <c r="S52" s="9">
        <f>(O52-N52)/O52</f>
        <v/>
      </c>
      <c r="T52" s="9">
        <f>(N52-K52)/N52</f>
        <v/>
      </c>
      <c r="U52" s="9">
        <f>(N52-K52)/N52-$B$4</f>
        <v/>
      </c>
      <c r="V52" s="7" t="inlineStr">
        <is>
          <t>已匹配</t>
        </is>
      </c>
    </row>
    <row r="53">
      <c r="A53" s="7" t="inlineStr">
        <is>
          <t>SHOP-00052</t>
        </is>
      </c>
      <c r="B53" s="7" t="inlineStr">
        <is>
          <t>宠物多功能护理包 V2</t>
        </is>
      </c>
      <c r="C53" s="7" t="inlineStr">
        <is>
          <t>PET-宠物-0052</t>
        </is>
      </c>
      <c r="D53" s="7" t="inlineStr">
        <is>
          <t>宠物出行</t>
        </is>
      </c>
      <c r="E53" s="7" t="n">
        <v>4</v>
      </c>
      <c r="F53" s="7" t="inlineStr">
        <is>
          <t>缺货</t>
        </is>
      </c>
      <c r="G53" s="8" t="n">
        <v>37.74</v>
      </c>
      <c r="H53" s="8" t="n">
        <v>15</v>
      </c>
      <c r="I53" s="8" t="n">
        <v>0</v>
      </c>
      <c r="J53" s="8" t="n">
        <v>0</v>
      </c>
      <c r="K53" s="8">
        <f>G53+H53+I53+J53</f>
        <v/>
      </c>
      <c r="L53" s="9">
        <f>$B$3</f>
        <v/>
      </c>
      <c r="M53" s="9">
        <f>$B$4</f>
        <v/>
      </c>
      <c r="N53" s="8">
        <f>K53/(1-(L53+M53))</f>
        <v/>
      </c>
      <c r="O53" s="8">
        <f>ROUND(K53/(1-(L53+M53)),2)</f>
        <v/>
      </c>
      <c r="P53" s="8" t="n">
        <v>96.31</v>
      </c>
      <c r="Q53" s="7">
        <f>IF(N53&lt;P53,"低于亚马逊",IF(N53&lt;P53*1.1,"接近亚马逊","高于亚马逊"))</f>
        <v/>
      </c>
      <c r="R53" s="8">
        <f>ROUND(N53*$B$12,2)</f>
        <v/>
      </c>
      <c r="S53" s="9">
        <f>(O53-N53)/O53</f>
        <v/>
      </c>
      <c r="T53" s="9">
        <f>(N53-K53)/N53</f>
        <v/>
      </c>
      <c r="U53" s="9">
        <f>(N53-K53)/N53-$B$4</f>
        <v/>
      </c>
      <c r="V53" s="7" t="inlineStr">
        <is>
          <t>已匹配</t>
        </is>
      </c>
    </row>
    <row r="54">
      <c r="A54" s="7" t="inlineStr">
        <is>
          <t>SHOP-00053</t>
        </is>
      </c>
      <c r="B54" s="7" t="inlineStr">
        <is>
          <t>宠物GPS定位项圈 V2</t>
        </is>
      </c>
      <c r="C54" s="7" t="inlineStr">
        <is>
          <t>PET-宠物-0053</t>
        </is>
      </c>
      <c r="D54" s="7" t="inlineStr">
        <is>
          <t>宠物清洁</t>
        </is>
      </c>
      <c r="E54" s="7" t="n">
        <v>2</v>
      </c>
      <c r="F54" s="7" t="inlineStr">
        <is>
          <t>有货</t>
        </is>
      </c>
      <c r="G54" s="8" t="n">
        <v>9.6</v>
      </c>
      <c r="H54" s="8" t="n">
        <v>6.44</v>
      </c>
      <c r="I54" s="8" t="n">
        <v>0</v>
      </c>
      <c r="J54" s="8" t="n">
        <v>0</v>
      </c>
      <c r="K54" s="8">
        <f>G54+H54+I54+J54</f>
        <v/>
      </c>
      <c r="L54" s="9">
        <f>$B$3</f>
        <v/>
      </c>
      <c r="M54" s="9">
        <f>$B$4</f>
        <v/>
      </c>
      <c r="N54" s="8">
        <f>K54/(1-(L54+M54))</f>
        <v/>
      </c>
      <c r="O54" s="8">
        <f>ROUND(K54/(1-(L54+M54)),2)</f>
        <v/>
      </c>
      <c r="P54" s="8" t="n">
        <v>27.44</v>
      </c>
      <c r="Q54" s="7">
        <f>IF(N54&lt;P54,"低于亚马逊",IF(N54&lt;P54*1.1,"接近亚马逊","高于亚马逊"))</f>
        <v/>
      </c>
      <c r="R54" s="8">
        <f>ROUND(N54*$B$12,2)</f>
        <v/>
      </c>
      <c r="S54" s="9">
        <f>(O54-N54)/O54</f>
        <v/>
      </c>
      <c r="T54" s="9">
        <f>(N54-K54)/N54</f>
        <v/>
      </c>
      <c r="U54" s="9">
        <f>(N54-K54)/N54-$B$4</f>
        <v/>
      </c>
      <c r="V54" s="7" t="inlineStr">
        <is>
          <t>已匹配</t>
        </is>
      </c>
    </row>
    <row r="55">
      <c r="A55" s="7" t="inlineStr">
        <is>
          <t>SHOP-00054</t>
        </is>
      </c>
      <c r="B55" s="7" t="inlineStr">
        <is>
          <t>宠物电动剃毛器 V2</t>
        </is>
      </c>
      <c r="C55" s="7" t="inlineStr">
        <is>
          <t>PET-宠物-0054</t>
        </is>
      </c>
      <c r="D55" s="7" t="inlineStr">
        <is>
          <t>宠物服饰</t>
        </is>
      </c>
      <c r="E55" s="7" t="n">
        <v>1</v>
      </c>
      <c r="F55" s="7" t="inlineStr">
        <is>
          <t>有货</t>
        </is>
      </c>
      <c r="G55" s="8" t="n">
        <v>3.24</v>
      </c>
      <c r="H55" s="8" t="n">
        <v>6.44</v>
      </c>
      <c r="I55" s="8" t="n">
        <v>0</v>
      </c>
      <c r="J55" s="8" t="n">
        <v>0</v>
      </c>
      <c r="K55" s="8">
        <f>G55+H55+I55+J55</f>
        <v/>
      </c>
      <c r="L55" s="9">
        <f>$B$3</f>
        <v/>
      </c>
      <c r="M55" s="9">
        <f>$B$4</f>
        <v/>
      </c>
      <c r="N55" s="8">
        <f>K55/(1-(L55+M55))</f>
        <v/>
      </c>
      <c r="O55" s="8">
        <f>ROUND(K55/(1-(L55+M55)),2)</f>
        <v/>
      </c>
      <c r="P55" s="8" t="n">
        <v>10.77</v>
      </c>
      <c r="Q55" s="7">
        <f>IF(N55&lt;P55,"低于亚马逊",IF(N55&lt;P55*1.1,"接近亚马逊","高于亚马逊"))</f>
        <v/>
      </c>
      <c r="R55" s="8">
        <f>ROUND(N55*$B$12,2)</f>
        <v/>
      </c>
      <c r="S55" s="9">
        <f>(O55-N55)/O55</f>
        <v/>
      </c>
      <c r="T55" s="9">
        <f>(N55-K55)/N55</f>
        <v/>
      </c>
      <c r="U55" s="9">
        <f>(N55-K55)/N55-$B$4</f>
        <v/>
      </c>
      <c r="V55" s="7" t="inlineStr">
        <is>
          <t>已匹配</t>
        </is>
      </c>
    </row>
    <row r="56">
      <c r="A56" s="7" t="inlineStr">
        <is>
          <t>SHOP-00055</t>
        </is>
      </c>
      <c r="B56" s="7" t="inlineStr">
        <is>
          <t>宠物自动喂食器 V2</t>
        </is>
      </c>
      <c r="C56" s="7" t="inlineStr">
        <is>
          <t>PET-宠物-0055</t>
        </is>
      </c>
      <c r="D56" s="7" t="inlineStr">
        <is>
          <t>宠物美容</t>
        </is>
      </c>
      <c r="E56" s="7" t="n">
        <v>1</v>
      </c>
      <c r="F56" s="7" t="inlineStr">
        <is>
          <t>缺货</t>
        </is>
      </c>
      <c r="G56" s="8" t="n">
        <v>44.11</v>
      </c>
      <c r="H56" s="8" t="n">
        <v>15</v>
      </c>
      <c r="I56" s="8" t="n">
        <v>0</v>
      </c>
      <c r="J56" s="8" t="n">
        <v>0</v>
      </c>
      <c r="K56" s="8">
        <f>G56+H56+I56+J56</f>
        <v/>
      </c>
      <c r="L56" s="9">
        <f>$B$3</f>
        <v/>
      </c>
      <c r="M56" s="9">
        <f>$B$4</f>
        <v/>
      </c>
      <c r="N56" s="8">
        <f>K56/(1-(L56+M56))</f>
        <v/>
      </c>
      <c r="O56" s="8">
        <f>ROUND(K56/(1-(L56+M56)),2)</f>
        <v/>
      </c>
      <c r="P56" s="8" t="n">
        <v>142.2</v>
      </c>
      <c r="Q56" s="7">
        <f>IF(N56&lt;P56,"低于亚马逊",IF(N56&lt;P56*1.1,"接近亚马逊","高于亚马逊"))</f>
        <v/>
      </c>
      <c r="R56" s="8">
        <f>ROUND(N56*$B$12,2)</f>
        <v/>
      </c>
      <c r="S56" s="9">
        <f>(O56-N56)/O56</f>
        <v/>
      </c>
      <c r="T56" s="9">
        <f>(N56-K56)/N56</f>
        <v/>
      </c>
      <c r="U56" s="9">
        <f>(N56-K56)/N56-$B$4</f>
        <v/>
      </c>
      <c r="V56" s="7" t="inlineStr">
        <is>
          <t>已匹配</t>
        </is>
      </c>
    </row>
    <row r="57">
      <c r="A57" s="7" t="inlineStr">
        <is>
          <t>SHOP-00056</t>
        </is>
      </c>
      <c r="B57" s="7" t="inlineStr">
        <is>
          <t>宠物外出牵引绳 V2</t>
        </is>
      </c>
      <c r="C57" s="7" t="inlineStr">
        <is>
          <t>PET-宠物-0056</t>
        </is>
      </c>
      <c r="D57" s="7" t="inlineStr">
        <is>
          <t>宠物玩具</t>
        </is>
      </c>
      <c r="E57" s="7" t="n">
        <v>3</v>
      </c>
      <c r="F57" s="7" t="inlineStr">
        <is>
          <t>库存紧张</t>
        </is>
      </c>
      <c r="G57" s="8" t="n">
        <v>10.86</v>
      </c>
      <c r="H57" s="8" t="n">
        <v>8.970000000000001</v>
      </c>
      <c r="I57" s="8" t="n">
        <v>0</v>
      </c>
      <c r="J57" s="8" t="n">
        <v>0</v>
      </c>
      <c r="K57" s="8">
        <f>G57+H57+I57+J57</f>
        <v/>
      </c>
      <c r="L57" s="9">
        <f>$B$3</f>
        <v/>
      </c>
      <c r="M57" s="9">
        <f>$B$4</f>
        <v/>
      </c>
      <c r="N57" s="8">
        <f>K57/(1-(L57+M57))</f>
        <v/>
      </c>
      <c r="O57" s="8">
        <f>ROUND(K57/(1-(L57+M57)),2)</f>
        <v/>
      </c>
      <c r="P57" s="8" t="n">
        <v>26.45</v>
      </c>
      <c r="Q57" s="7">
        <f>IF(N57&lt;P57,"低于亚马逊",IF(N57&lt;P57*1.1,"接近亚马逊","高于亚马逊"))</f>
        <v/>
      </c>
      <c r="R57" s="8">
        <f>ROUND(N57*$B$12,2)</f>
        <v/>
      </c>
      <c r="S57" s="9">
        <f>(O57-N57)/O57</f>
        <v/>
      </c>
      <c r="T57" s="9">
        <f>(N57-K57)/N57</f>
        <v/>
      </c>
      <c r="U57" s="9">
        <f>(N57-K57)/N57-$B$4</f>
        <v/>
      </c>
      <c r="V57" s="7" t="inlineStr">
        <is>
          <t>已匹配</t>
        </is>
      </c>
    </row>
    <row r="58">
      <c r="A58" s="7" t="inlineStr">
        <is>
          <t>SHOP-00057</t>
        </is>
      </c>
      <c r="B58" s="7" t="inlineStr">
        <is>
          <t>宠物洗澡沐浴露套装 V2</t>
        </is>
      </c>
      <c r="C58" s="7" t="inlineStr">
        <is>
          <t>PET-宠物-0057</t>
        </is>
      </c>
      <c r="D58" s="7" t="inlineStr">
        <is>
          <t>宠物喂食</t>
        </is>
      </c>
      <c r="E58" s="7" t="n">
        <v>2</v>
      </c>
      <c r="F58" s="7" t="inlineStr">
        <is>
          <t>有货</t>
        </is>
      </c>
      <c r="G58" s="8" t="n">
        <v>4.13</v>
      </c>
      <c r="H58" s="8" t="n">
        <v>6.44</v>
      </c>
      <c r="I58" s="8" t="n">
        <v>0</v>
      </c>
      <c r="J58" s="8" t="n">
        <v>0</v>
      </c>
      <c r="K58" s="8">
        <f>G58+H58+I58+J58</f>
        <v/>
      </c>
      <c r="L58" s="9">
        <f>$B$3</f>
        <v/>
      </c>
      <c r="M58" s="9">
        <f>$B$4</f>
        <v/>
      </c>
      <c r="N58" s="8">
        <f>K58/(1-(L58+M58))</f>
        <v/>
      </c>
      <c r="O58" s="8">
        <f>ROUND(K58/(1-(L58+M58)),2)</f>
        <v/>
      </c>
      <c r="P58" s="8" t="n">
        <v>10.71</v>
      </c>
      <c r="Q58" s="7">
        <f>IF(N58&lt;P58,"低于亚马逊",IF(N58&lt;P58*1.1,"接近亚马逊","高于亚马逊"))</f>
        <v/>
      </c>
      <c r="R58" s="8">
        <f>ROUND(N58*$B$12,2)</f>
        <v/>
      </c>
      <c r="S58" s="9">
        <f>(O58-N58)/O58</f>
        <v/>
      </c>
      <c r="T58" s="9">
        <f>(N58-K58)/N58</f>
        <v/>
      </c>
      <c r="U58" s="9">
        <f>(N58-K58)/N58-$B$4</f>
        <v/>
      </c>
      <c r="V58" s="7" t="inlineStr">
        <is>
          <t>已匹配</t>
        </is>
      </c>
    </row>
    <row r="59">
      <c r="A59" s="7" t="inlineStr">
        <is>
          <t>SHOP-00058</t>
        </is>
      </c>
      <c r="B59" s="7" t="inlineStr">
        <is>
          <t>宠物保暖舒适窝 V2</t>
        </is>
      </c>
      <c r="C59" s="7" t="inlineStr">
        <is>
          <t>PET-宠物-0058</t>
        </is>
      </c>
      <c r="D59" s="7" t="inlineStr">
        <is>
          <t>宠物出行</t>
        </is>
      </c>
      <c r="E59" s="7" t="n">
        <v>1</v>
      </c>
      <c r="F59" s="7" t="inlineStr">
        <is>
          <t>有货</t>
        </is>
      </c>
      <c r="G59" s="8" t="n">
        <v>18.87</v>
      </c>
      <c r="H59" s="8" t="n">
        <v>8.970000000000001</v>
      </c>
      <c r="I59" s="8" t="n">
        <v>0</v>
      </c>
      <c r="J59" s="8" t="n">
        <v>0</v>
      </c>
      <c r="K59" s="8">
        <f>G59+H59+I59+J59</f>
        <v/>
      </c>
      <c r="L59" s="9">
        <f>$B$3</f>
        <v/>
      </c>
      <c r="M59" s="9">
        <f>$B$4</f>
        <v/>
      </c>
      <c r="N59" s="8">
        <f>K59/(1-(L59+M59))</f>
        <v/>
      </c>
      <c r="O59" s="8">
        <f>ROUND(K59/(1-(L59+M59)),2)</f>
        <v/>
      </c>
      <c r="P59" s="8" t="n">
        <v>46.98</v>
      </c>
      <c r="Q59" s="7">
        <f>IF(N59&lt;P59,"低于亚马逊",IF(N59&lt;P59*1.1,"接近亚马逊","高于亚马逊"))</f>
        <v/>
      </c>
      <c r="R59" s="8">
        <f>ROUND(N59*$B$12,2)</f>
        <v/>
      </c>
      <c r="S59" s="9">
        <f>(O59-N59)/O59</f>
        <v/>
      </c>
      <c r="T59" s="9">
        <f>(N59-K59)/N59</f>
        <v/>
      </c>
      <c r="U59" s="9">
        <f>(N59-K59)/N59-$B$4</f>
        <v/>
      </c>
      <c r="V59" s="7" t="inlineStr">
        <is>
          <t>已匹配</t>
        </is>
      </c>
    </row>
    <row r="60">
      <c r="A60" s="7" t="inlineStr">
        <is>
          <t>SHOP-00059</t>
        </is>
      </c>
      <c r="B60" s="7" t="inlineStr">
        <is>
          <t>宠物训练响片 V2</t>
        </is>
      </c>
      <c r="C60" s="7" t="inlineStr">
        <is>
          <t>PET-宠物-0059</t>
        </is>
      </c>
      <c r="D60" s="7" t="inlineStr">
        <is>
          <t>宠物清洁</t>
        </is>
      </c>
      <c r="E60" s="7" t="n">
        <v>1</v>
      </c>
      <c r="F60" s="7" t="inlineStr">
        <is>
          <t>有货</t>
        </is>
      </c>
      <c r="G60" s="8" t="n">
        <v>22.19</v>
      </c>
      <c r="H60" s="8" t="n">
        <v>8.970000000000001</v>
      </c>
      <c r="I60" s="8" t="n">
        <v>0</v>
      </c>
      <c r="J60" s="8" t="n">
        <v>0</v>
      </c>
      <c r="K60" s="8">
        <f>G60+H60+I60+J60</f>
        <v/>
      </c>
      <c r="L60" s="9">
        <f>$B$3</f>
        <v/>
      </c>
      <c r="M60" s="9">
        <f>$B$4</f>
        <v/>
      </c>
      <c r="N60" s="8">
        <f>K60/(1-(L60+M60))</f>
        <v/>
      </c>
      <c r="O60" s="8">
        <f>ROUND(K60/(1-(L60+M60)),2)</f>
        <v/>
      </c>
      <c r="P60" s="8" t="n">
        <v>55.21</v>
      </c>
      <c r="Q60" s="7">
        <f>IF(N60&lt;P60,"低于亚马逊",IF(N60&lt;P60*1.1,"接近亚马逊","高于亚马逊"))</f>
        <v/>
      </c>
      <c r="R60" s="8">
        <f>ROUND(N60*$B$12,2)</f>
        <v/>
      </c>
      <c r="S60" s="9">
        <f>(O60-N60)/O60</f>
        <v/>
      </c>
      <c r="T60" s="9">
        <f>(N60-K60)/N60</f>
        <v/>
      </c>
      <c r="U60" s="9">
        <f>(N60-K60)/N60-$B$4</f>
        <v/>
      </c>
      <c r="V60" s="7" t="inlineStr">
        <is>
          <t>已匹配</t>
        </is>
      </c>
    </row>
    <row r="61">
      <c r="A61" s="7" t="inlineStr">
        <is>
          <t>SHOP-00060</t>
        </is>
      </c>
      <c r="B61" s="7" t="inlineStr">
        <is>
          <t>宠物拾便器 V2</t>
        </is>
      </c>
      <c r="C61" s="7" t="inlineStr">
        <is>
          <t>PET-宠物-0060</t>
        </is>
      </c>
      <c r="D61" s="7" t="inlineStr">
        <is>
          <t>宠物服饰</t>
        </is>
      </c>
      <c r="E61" s="7" t="n">
        <v>4</v>
      </c>
      <c r="F61" s="7" t="inlineStr">
        <is>
          <t>有货</t>
        </is>
      </c>
      <c r="G61" s="8" t="n">
        <v>30.85</v>
      </c>
      <c r="H61" s="8" t="n">
        <v>15</v>
      </c>
      <c r="I61" s="8" t="n">
        <v>0</v>
      </c>
      <c r="J61" s="8" t="n">
        <v>0</v>
      </c>
      <c r="K61" s="8">
        <f>G61+H61+I61+J61</f>
        <v/>
      </c>
      <c r="L61" s="9">
        <f>$B$3</f>
        <v/>
      </c>
      <c r="M61" s="9">
        <f>$B$4</f>
        <v/>
      </c>
      <c r="N61" s="8">
        <f>K61/(1-(L61+M61))</f>
        <v/>
      </c>
      <c r="O61" s="8">
        <f>ROUND(K61/(1-(L61+M61)),2)</f>
        <v/>
      </c>
      <c r="P61" s="8" t="n">
        <v>99</v>
      </c>
      <c r="Q61" s="7">
        <f>IF(N61&lt;P61,"低于亚马逊",IF(N61&lt;P61*1.1,"接近亚马逊","高于亚马逊"))</f>
        <v/>
      </c>
      <c r="R61" s="8">
        <f>ROUND(N61*$B$12,2)</f>
        <v/>
      </c>
      <c r="S61" s="9">
        <f>(O61-N61)/O61</f>
        <v/>
      </c>
      <c r="T61" s="9">
        <f>(N61-K61)/N61</f>
        <v/>
      </c>
      <c r="U61" s="9">
        <f>(N61-K61)/N61-$B$4</f>
        <v/>
      </c>
      <c r="V61" s="7" t="inlineStr">
        <is>
          <t>已匹配</t>
        </is>
      </c>
    </row>
    <row r="62">
      <c r="A62" s="7" t="inlineStr">
        <is>
          <t>SHOP-00061</t>
        </is>
      </c>
      <c r="B62" s="7" t="inlineStr">
        <is>
          <t>宠物冰垫凉席 V2</t>
        </is>
      </c>
      <c r="C62" s="7" t="inlineStr">
        <is>
          <t>PET-宠物-0061</t>
        </is>
      </c>
      <c r="D62" s="7" t="inlineStr">
        <is>
          <t>宠物美容</t>
        </is>
      </c>
      <c r="E62" s="7" t="n">
        <v>2</v>
      </c>
      <c r="F62" s="7" t="inlineStr">
        <is>
          <t>库存紧张</t>
        </is>
      </c>
      <c r="G62" s="8" t="n">
        <v>6.88</v>
      </c>
      <c r="H62" s="8" t="n">
        <v>6.44</v>
      </c>
      <c r="I62" s="8" t="n">
        <v>0</v>
      </c>
      <c r="J62" s="8" t="n">
        <v>0</v>
      </c>
      <c r="K62" s="8">
        <f>G62+H62+I62+J62</f>
        <v/>
      </c>
      <c r="L62" s="9">
        <f>$B$3</f>
        <v/>
      </c>
      <c r="M62" s="9">
        <f>$B$4</f>
        <v/>
      </c>
      <c r="N62" s="8">
        <f>K62/(1-(L62+M62))</f>
        <v/>
      </c>
      <c r="O62" s="8">
        <f>ROUND(K62/(1-(L62+M62)),2)</f>
        <v/>
      </c>
      <c r="P62" s="8" t="n">
        <v>18.26</v>
      </c>
      <c r="Q62" s="7">
        <f>IF(N62&lt;P62,"低于亚马逊",IF(N62&lt;P62*1.1,"接近亚马逊","高于亚马逊"))</f>
        <v/>
      </c>
      <c r="R62" s="8">
        <f>ROUND(N62*$B$12,2)</f>
        <v/>
      </c>
      <c r="S62" s="9">
        <f>(O62-N62)/O62</f>
        <v/>
      </c>
      <c r="T62" s="9">
        <f>(N62-K62)/N62</f>
        <v/>
      </c>
      <c r="U62" s="9">
        <f>(N62-K62)/N62-$B$4</f>
        <v/>
      </c>
      <c r="V62" s="7" t="inlineStr">
        <is>
          <t>已匹配</t>
        </is>
      </c>
    </row>
    <row r="63">
      <c r="A63" s="7" t="inlineStr">
        <is>
          <t>SHOP-00062</t>
        </is>
      </c>
      <c r="B63" s="7" t="inlineStr">
        <is>
          <t>宠物磨牙玩具套装 V2</t>
        </is>
      </c>
      <c r="C63" s="7" t="inlineStr">
        <is>
          <t>PET-宠物-0062</t>
        </is>
      </c>
      <c r="D63" s="7" t="inlineStr">
        <is>
          <t>宠物玩具</t>
        </is>
      </c>
      <c r="E63" s="7" t="n">
        <v>1</v>
      </c>
      <c r="F63" s="7" t="inlineStr">
        <is>
          <t>有货</t>
        </is>
      </c>
      <c r="G63" s="8" t="n">
        <v>44.21</v>
      </c>
      <c r="H63" s="8" t="n">
        <v>15</v>
      </c>
      <c r="I63" s="8" t="n">
        <v>0</v>
      </c>
      <c r="J63" s="8" t="n">
        <v>0</v>
      </c>
      <c r="K63" s="8">
        <f>G63+H63+I63+J63</f>
        <v/>
      </c>
      <c r="L63" s="9">
        <f>$B$3</f>
        <v/>
      </c>
      <c r="M63" s="9">
        <f>$B$4</f>
        <v/>
      </c>
      <c r="N63" s="8">
        <f>K63/(1-(L63+M63))</f>
        <v/>
      </c>
      <c r="O63" s="8">
        <f>ROUND(K63/(1-(L63+M63)),2)</f>
        <v/>
      </c>
      <c r="P63" s="8" t="n">
        <v>99.31999999999999</v>
      </c>
      <c r="Q63" s="7">
        <f>IF(N63&lt;P63,"低于亚马逊",IF(N63&lt;P63*1.1,"接近亚马逊","高于亚马逊"))</f>
        <v/>
      </c>
      <c r="R63" s="8">
        <f>ROUND(N63*$B$12,2)</f>
        <v/>
      </c>
      <c r="S63" s="9">
        <f>(O63-N63)/O63</f>
        <v/>
      </c>
      <c r="T63" s="9">
        <f>(N63-K63)/N63</f>
        <v/>
      </c>
      <c r="U63" s="9">
        <f>(N63-K63)/N63-$B$4</f>
        <v/>
      </c>
      <c r="V63" s="7" t="inlineStr">
        <is>
          <t>已匹配</t>
        </is>
      </c>
    </row>
    <row r="64">
      <c r="A64" s="7" t="inlineStr">
        <is>
          <t>SHOP-00063</t>
        </is>
      </c>
      <c r="B64" s="7" t="inlineStr">
        <is>
          <t>宠物航空箱 V2</t>
        </is>
      </c>
      <c r="C64" s="7" t="inlineStr">
        <is>
          <t>PET-宠物-0063</t>
        </is>
      </c>
      <c r="D64" s="7" t="inlineStr">
        <is>
          <t>宠物喂食</t>
        </is>
      </c>
      <c r="E64" s="7" t="n">
        <v>3</v>
      </c>
      <c r="F64" s="7" t="inlineStr">
        <is>
          <t>库存紧张</t>
        </is>
      </c>
      <c r="G64" s="8" t="n">
        <v>33.23</v>
      </c>
      <c r="H64" s="8" t="n">
        <v>15</v>
      </c>
      <c r="I64" s="8" t="n">
        <v>0</v>
      </c>
      <c r="J64" s="8" t="n">
        <v>0</v>
      </c>
      <c r="K64" s="8">
        <f>G64+H64+I64+J64</f>
        <v/>
      </c>
      <c r="L64" s="9">
        <f>$B$3</f>
        <v/>
      </c>
      <c r="M64" s="9">
        <f>$B$4</f>
        <v/>
      </c>
      <c r="N64" s="8">
        <f>K64/(1-(L64+M64))</f>
        <v/>
      </c>
      <c r="O64" s="8">
        <f>ROUND(K64/(1-(L64+M64)),2)</f>
        <v/>
      </c>
      <c r="P64" s="8" t="n">
        <v>75.42</v>
      </c>
      <c r="Q64" s="7">
        <f>IF(N64&lt;P64,"低于亚马逊",IF(N64&lt;P64*1.1,"接近亚马逊","高于亚马逊"))</f>
        <v/>
      </c>
      <c r="R64" s="8">
        <f>ROUND(N64*$B$12,2)</f>
        <v/>
      </c>
      <c r="S64" s="9">
        <f>(O64-N64)/O64</f>
        <v/>
      </c>
      <c r="T64" s="9">
        <f>(N64-K64)/N64</f>
        <v/>
      </c>
      <c r="U64" s="9">
        <f>(N64-K64)/N64-$B$4</f>
        <v/>
      </c>
      <c r="V64" s="7" t="inlineStr">
        <is>
          <t>已匹配</t>
        </is>
      </c>
    </row>
    <row r="65">
      <c r="A65" s="7" t="inlineStr">
        <is>
          <t>SHOP-00064</t>
        </is>
      </c>
      <c r="B65" s="7" t="inlineStr">
        <is>
          <t>宠物外出背包 V2</t>
        </is>
      </c>
      <c r="C65" s="7" t="inlineStr">
        <is>
          <t>PET-宠物-0064</t>
        </is>
      </c>
      <c r="D65" s="7" t="inlineStr">
        <is>
          <t>宠物出行</t>
        </is>
      </c>
      <c r="E65" s="7" t="n">
        <v>2</v>
      </c>
      <c r="F65" s="7" t="inlineStr">
        <is>
          <t>库存紧张</t>
        </is>
      </c>
      <c r="G65" s="8" t="n">
        <v>17.22</v>
      </c>
      <c r="H65" s="8" t="n">
        <v>8.970000000000001</v>
      </c>
      <c r="I65" s="8" t="n">
        <v>0</v>
      </c>
      <c r="J65" s="8" t="n">
        <v>0</v>
      </c>
      <c r="K65" s="8">
        <f>G65+H65+I65+J65</f>
        <v/>
      </c>
      <c r="L65" s="9">
        <f>$B$3</f>
        <v/>
      </c>
      <c r="M65" s="9">
        <f>$B$4</f>
        <v/>
      </c>
      <c r="N65" s="8">
        <f>K65/(1-(L65+M65))</f>
        <v/>
      </c>
      <c r="O65" s="8">
        <f>ROUND(K65/(1-(L65+M65)),2)</f>
        <v/>
      </c>
      <c r="P65" s="8" t="n">
        <v>51.68</v>
      </c>
      <c r="Q65" s="7">
        <f>IF(N65&lt;P65,"低于亚马逊",IF(N65&lt;P65*1.1,"接近亚马逊","高于亚马逊"))</f>
        <v/>
      </c>
      <c r="R65" s="8">
        <f>ROUND(N65*$B$12,2)</f>
        <v/>
      </c>
      <c r="S65" s="9">
        <f>(O65-N65)/O65</f>
        <v/>
      </c>
      <c r="T65" s="9">
        <f>(N65-K65)/N65</f>
        <v/>
      </c>
      <c r="U65" s="9">
        <f>(N65-K65)/N65-$B$4</f>
        <v/>
      </c>
      <c r="V65" s="7" t="inlineStr">
        <is>
          <t>已匹配</t>
        </is>
      </c>
    </row>
    <row r="66">
      <c r="A66" s="7" t="inlineStr">
        <is>
          <t>SHOP-00065</t>
        </is>
      </c>
      <c r="B66" s="7" t="inlineStr">
        <is>
          <t>宠物干洗喷雾 V2</t>
        </is>
      </c>
      <c r="C66" s="7" t="inlineStr">
        <is>
          <t>PET-宠物-0065</t>
        </is>
      </c>
      <c r="D66" s="7" t="inlineStr">
        <is>
          <t>宠物清洁</t>
        </is>
      </c>
      <c r="E66" s="7" t="n">
        <v>1</v>
      </c>
      <c r="F66" s="7" t="inlineStr">
        <is>
          <t>缺货</t>
        </is>
      </c>
      <c r="G66" s="8" t="n">
        <v>26.6</v>
      </c>
      <c r="H66" s="8" t="n">
        <v>15</v>
      </c>
      <c r="I66" s="8" t="n">
        <v>0</v>
      </c>
      <c r="J66" s="8" t="n">
        <v>0</v>
      </c>
      <c r="K66" s="8">
        <f>G66+H66+I66+J66</f>
        <v/>
      </c>
      <c r="L66" s="9">
        <f>$B$3</f>
        <v/>
      </c>
      <c r="M66" s="9">
        <f>$B$4</f>
        <v/>
      </c>
      <c r="N66" s="8">
        <f>K66/(1-(L66+M66))</f>
        <v/>
      </c>
      <c r="O66" s="8">
        <f>ROUND(K66/(1-(L66+M66)),2)</f>
        <v/>
      </c>
      <c r="P66" s="8" t="n">
        <v>84.15000000000001</v>
      </c>
      <c r="Q66" s="7">
        <f>IF(N66&lt;P66,"低于亚马逊",IF(N66&lt;P66*1.1,"接近亚马逊","高于亚马逊"))</f>
        <v/>
      </c>
      <c r="R66" s="8">
        <f>ROUND(N66*$B$12,2)</f>
        <v/>
      </c>
      <c r="S66" s="9">
        <f>(O66-N66)/O66</f>
        <v/>
      </c>
      <c r="T66" s="9">
        <f>(N66-K66)/N66</f>
        <v/>
      </c>
      <c r="U66" s="9">
        <f>(N66-K66)/N66-$B$4</f>
        <v/>
      </c>
      <c r="V66" s="7" t="inlineStr">
        <is>
          <t>已匹配</t>
        </is>
      </c>
    </row>
    <row r="67">
      <c r="A67" s="7" t="inlineStr">
        <is>
          <t>SHOP-00066</t>
        </is>
      </c>
      <c r="B67" s="7" t="inlineStr">
        <is>
          <t>宠物指甲剪套装 V2</t>
        </is>
      </c>
      <c r="C67" s="7" t="inlineStr">
        <is>
          <t>PET-宠物-0066</t>
        </is>
      </c>
      <c r="D67" s="7" t="inlineStr">
        <is>
          <t>宠物服饰</t>
        </is>
      </c>
      <c r="E67" s="7" t="n">
        <v>2</v>
      </c>
      <c r="F67" s="7" t="inlineStr">
        <is>
          <t>缺货</t>
        </is>
      </c>
      <c r="G67" s="8" t="n">
        <v>17.78</v>
      </c>
      <c r="H67" s="8" t="n">
        <v>8.970000000000001</v>
      </c>
      <c r="I67" s="8" t="n">
        <v>0</v>
      </c>
      <c r="J67" s="8" t="n">
        <v>0</v>
      </c>
      <c r="K67" s="8">
        <f>G67+H67+I67+J67</f>
        <v/>
      </c>
      <c r="L67" s="9">
        <f>$B$3</f>
        <v/>
      </c>
      <c r="M67" s="9">
        <f>$B$4</f>
        <v/>
      </c>
      <c r="N67" s="8">
        <f>K67/(1-(L67+M67))</f>
        <v/>
      </c>
      <c r="O67" s="8">
        <f>ROUND(K67/(1-(L67+M67)),2)</f>
        <v/>
      </c>
      <c r="P67" s="8" t="n">
        <v>50.9</v>
      </c>
      <c r="Q67" s="7">
        <f>IF(N67&lt;P67,"低于亚马逊",IF(N67&lt;P67*1.1,"接近亚马逊","高于亚马逊"))</f>
        <v/>
      </c>
      <c r="R67" s="8">
        <f>ROUND(N67*$B$12,2)</f>
        <v/>
      </c>
      <c r="S67" s="9">
        <f>(O67-N67)/O67</f>
        <v/>
      </c>
      <c r="T67" s="9">
        <f>(N67-K67)/N67</f>
        <v/>
      </c>
      <c r="U67" s="9">
        <f>(N67-K67)/N67-$B$4</f>
        <v/>
      </c>
      <c r="V67" s="7" t="inlineStr">
        <is>
          <t>已匹配</t>
        </is>
      </c>
    </row>
    <row r="68">
      <c r="A68" s="7" t="inlineStr">
        <is>
          <t>SHOP-00067</t>
        </is>
      </c>
      <c r="B68" s="7" t="inlineStr">
        <is>
          <t>宠物体温计 V2</t>
        </is>
      </c>
      <c r="C68" s="7" t="inlineStr">
        <is>
          <t>PET-宠物-0067</t>
        </is>
      </c>
      <c r="D68" s="7" t="inlineStr">
        <is>
          <t>宠物美容</t>
        </is>
      </c>
      <c r="E68" s="7" t="n">
        <v>2</v>
      </c>
      <c r="F68" s="7" t="inlineStr">
        <is>
          <t>缺货</t>
        </is>
      </c>
      <c r="G68" s="8" t="n">
        <v>34.7</v>
      </c>
      <c r="H68" s="8" t="n">
        <v>15</v>
      </c>
      <c r="I68" s="8" t="n">
        <v>0</v>
      </c>
      <c r="J68" s="8" t="n">
        <v>0</v>
      </c>
      <c r="K68" s="8">
        <f>G68+H68+I68+J68</f>
        <v/>
      </c>
      <c r="L68" s="9">
        <f>$B$3</f>
        <v/>
      </c>
      <c r="M68" s="9">
        <f>$B$4</f>
        <v/>
      </c>
      <c r="N68" s="8">
        <f>K68/(1-(L68+M68))</f>
        <v/>
      </c>
      <c r="O68" s="8">
        <f>ROUND(K68/(1-(L68+M68)),2)</f>
        <v/>
      </c>
      <c r="P68" s="8" t="n">
        <v>100.21</v>
      </c>
      <c r="Q68" s="7">
        <f>IF(N68&lt;P68,"低于亚马逊",IF(N68&lt;P68*1.1,"接近亚马逊","高于亚马逊"))</f>
        <v/>
      </c>
      <c r="R68" s="8">
        <f>ROUND(N68*$B$12,2)</f>
        <v/>
      </c>
      <c r="S68" s="9">
        <f>(O68-N68)/O68</f>
        <v/>
      </c>
      <c r="T68" s="9">
        <f>(N68-K68)/N68</f>
        <v/>
      </c>
      <c r="U68" s="9">
        <f>(N68-K68)/N68-$B$4</f>
        <v/>
      </c>
      <c r="V68" s="7" t="inlineStr">
        <is>
          <t>已匹配</t>
        </is>
      </c>
    </row>
    <row r="69">
      <c r="A69" s="7" t="inlineStr">
        <is>
          <t>SHOP-00068</t>
        </is>
      </c>
      <c r="B69" s="7" t="inlineStr">
        <is>
          <t>宠物牙刷牙膏套装 V2</t>
        </is>
      </c>
      <c r="C69" s="7" t="inlineStr">
        <is>
          <t>PET-宠物-0068</t>
        </is>
      </c>
      <c r="D69" s="7" t="inlineStr">
        <is>
          <t>宠物玩具</t>
        </is>
      </c>
      <c r="E69" s="7" t="n">
        <v>4</v>
      </c>
      <c r="F69" s="7" t="inlineStr">
        <is>
          <t>有货</t>
        </is>
      </c>
      <c r="G69" s="8" t="n">
        <v>14.9</v>
      </c>
      <c r="H69" s="8" t="n">
        <v>8.970000000000001</v>
      </c>
      <c r="I69" s="8" t="n">
        <v>0</v>
      </c>
      <c r="J69" s="8" t="n">
        <v>0</v>
      </c>
      <c r="K69" s="8">
        <f>G69+H69+I69+J69</f>
        <v/>
      </c>
      <c r="L69" s="9">
        <f>$B$3</f>
        <v/>
      </c>
      <c r="M69" s="9">
        <f>$B$4</f>
        <v/>
      </c>
      <c r="N69" s="8">
        <f>K69/(1-(L69+M69))</f>
        <v/>
      </c>
      <c r="O69" s="8">
        <f>ROUND(K69/(1-(L69+M69)),2)</f>
        <v/>
      </c>
      <c r="P69" s="8" t="n">
        <v>38.24</v>
      </c>
      <c r="Q69" s="7">
        <f>IF(N69&lt;P69,"低于亚马逊",IF(N69&lt;P69*1.1,"接近亚马逊","高于亚马逊"))</f>
        <v/>
      </c>
      <c r="R69" s="8">
        <f>ROUND(N69*$B$12,2)</f>
        <v/>
      </c>
      <c r="S69" s="9">
        <f>(O69-N69)/O69</f>
        <v/>
      </c>
      <c r="T69" s="9">
        <f>(N69-K69)/N69</f>
        <v/>
      </c>
      <c r="U69" s="9">
        <f>(N69-K69)/N69-$B$4</f>
        <v/>
      </c>
      <c r="V69" s="7" t="inlineStr">
        <is>
          <t>已匹配</t>
        </is>
      </c>
    </row>
    <row r="70">
      <c r="A70" s="7" t="inlineStr">
        <is>
          <t>SHOP-00069</t>
        </is>
      </c>
      <c r="B70" s="7" t="inlineStr">
        <is>
          <t>宠物胸背带 V2</t>
        </is>
      </c>
      <c r="C70" s="7" t="inlineStr">
        <is>
          <t>PET-宠物-0069</t>
        </is>
      </c>
      <c r="D70" s="7" t="inlineStr">
        <is>
          <t>宠物喂食</t>
        </is>
      </c>
      <c r="E70" s="7" t="n">
        <v>1</v>
      </c>
      <c r="F70" s="7" t="inlineStr">
        <is>
          <t>库存紧张</t>
        </is>
      </c>
      <c r="G70" s="8" t="n">
        <v>32.42</v>
      </c>
      <c r="H70" s="8" t="n">
        <v>15</v>
      </c>
      <c r="I70" s="8" t="n">
        <v>0</v>
      </c>
      <c r="J70" s="8" t="n">
        <v>0</v>
      </c>
      <c r="K70" s="8">
        <f>G70+H70+I70+J70</f>
        <v/>
      </c>
      <c r="L70" s="9">
        <f>$B$3</f>
        <v/>
      </c>
      <c r="M70" s="9">
        <f>$B$4</f>
        <v/>
      </c>
      <c r="N70" s="8">
        <f>K70/(1-(L70+M70))</f>
        <v/>
      </c>
      <c r="O70" s="8">
        <f>ROUND(K70/(1-(L70+M70)),2)</f>
        <v/>
      </c>
      <c r="P70" s="8" t="n">
        <v>91.15000000000001</v>
      </c>
      <c r="Q70" s="7">
        <f>IF(N70&lt;P70,"低于亚马逊",IF(N70&lt;P70*1.1,"接近亚马逊","高于亚马逊"))</f>
        <v/>
      </c>
      <c r="R70" s="8">
        <f>ROUND(N70*$B$12,2)</f>
        <v/>
      </c>
      <c r="S70" s="9">
        <f>(O70-N70)/O70</f>
        <v/>
      </c>
      <c r="T70" s="9">
        <f>(N70-K70)/N70</f>
        <v/>
      </c>
      <c r="U70" s="9">
        <f>(N70-K70)/N70-$B$4</f>
        <v/>
      </c>
      <c r="V70" s="7" t="inlineStr">
        <is>
          <t>已匹配</t>
        </is>
      </c>
    </row>
    <row r="71">
      <c r="A71" s="7" t="inlineStr">
        <is>
          <t>SHOP-00070</t>
        </is>
      </c>
      <c r="B71" s="7" t="inlineStr">
        <is>
          <t>宠物雨衣套装 V2</t>
        </is>
      </c>
      <c r="C71" s="7" t="inlineStr">
        <is>
          <t>PET-宠物-0070</t>
        </is>
      </c>
      <c r="D71" s="7" t="inlineStr">
        <is>
          <t>宠物出行</t>
        </is>
      </c>
      <c r="E71" s="7" t="n">
        <v>4</v>
      </c>
      <c r="F71" s="7" t="inlineStr">
        <is>
          <t>缺货</t>
        </is>
      </c>
      <c r="G71" s="8" t="n">
        <v>27.63</v>
      </c>
      <c r="H71" s="8" t="n">
        <v>15</v>
      </c>
      <c r="I71" s="8" t="n">
        <v>0</v>
      </c>
      <c r="J71" s="8" t="n">
        <v>0</v>
      </c>
      <c r="K71" s="8">
        <f>G71+H71+I71+J71</f>
        <v/>
      </c>
      <c r="L71" s="9">
        <f>$B$3</f>
        <v/>
      </c>
      <c r="M71" s="9">
        <f>$B$4</f>
        <v/>
      </c>
      <c r="N71" s="8">
        <f>K71/(1-(L71+M71))</f>
        <v/>
      </c>
      <c r="O71" s="8">
        <f>ROUND(K71/(1-(L71+M71)),2)</f>
        <v/>
      </c>
      <c r="P71" s="8" t="n">
        <v>90.36</v>
      </c>
      <c r="Q71" s="7">
        <f>IF(N71&lt;P71,"低于亚马逊",IF(N71&lt;P71*1.1,"接近亚马逊","高于亚马逊"))</f>
        <v/>
      </c>
      <c r="R71" s="8">
        <f>ROUND(N71*$B$12,2)</f>
        <v/>
      </c>
      <c r="S71" s="9">
        <f>(O71-N71)/O71</f>
        <v/>
      </c>
      <c r="T71" s="9">
        <f>(N71-K71)/N71</f>
        <v/>
      </c>
      <c r="U71" s="9">
        <f>(N71-K71)/N71-$B$4</f>
        <v/>
      </c>
      <c r="V71" s="7" t="inlineStr">
        <is>
          <t>已匹配</t>
        </is>
      </c>
    </row>
    <row r="72">
      <c r="A72" s="7" t="inlineStr">
        <is>
          <t>SHOP-00071</t>
        </is>
      </c>
      <c r="B72" s="7" t="inlineStr">
        <is>
          <t>宠物门栏围栏 V2</t>
        </is>
      </c>
      <c r="C72" s="7" t="inlineStr">
        <is>
          <t>PET-宠物-0071</t>
        </is>
      </c>
      <c r="D72" s="7" t="inlineStr">
        <is>
          <t>宠物清洁</t>
        </is>
      </c>
      <c r="E72" s="7" t="n">
        <v>4</v>
      </c>
      <c r="F72" s="7" t="inlineStr">
        <is>
          <t>缺货</t>
        </is>
      </c>
      <c r="G72" s="8" t="n">
        <v>12.4</v>
      </c>
      <c r="H72" s="8" t="n">
        <v>8.970000000000001</v>
      </c>
      <c r="I72" s="8" t="n">
        <v>0</v>
      </c>
      <c r="J72" s="8" t="n">
        <v>0</v>
      </c>
      <c r="K72" s="8">
        <f>G72+H72+I72+J72</f>
        <v/>
      </c>
      <c r="L72" s="9">
        <f>$B$3</f>
        <v/>
      </c>
      <c r="M72" s="9">
        <f>$B$4</f>
        <v/>
      </c>
      <c r="N72" s="8">
        <f>K72/(1-(L72+M72))</f>
        <v/>
      </c>
      <c r="O72" s="8">
        <f>ROUND(K72/(1-(L72+M72)),2)</f>
        <v/>
      </c>
      <c r="P72" s="8" t="n">
        <v>30.93</v>
      </c>
      <c r="Q72" s="7">
        <f>IF(N72&lt;P72,"低于亚马逊",IF(N72&lt;P72*1.1,"接近亚马逊","高于亚马逊"))</f>
        <v/>
      </c>
      <c r="R72" s="8">
        <f>ROUND(N72*$B$12,2)</f>
        <v/>
      </c>
      <c r="S72" s="9">
        <f>(O72-N72)/O72</f>
        <v/>
      </c>
      <c r="T72" s="9">
        <f>(N72-K72)/N72</f>
        <v/>
      </c>
      <c r="U72" s="9">
        <f>(N72-K72)/N72-$B$4</f>
        <v/>
      </c>
      <c r="V72" s="7" t="inlineStr">
        <is>
          <t>已匹配</t>
        </is>
      </c>
    </row>
    <row r="73">
      <c r="A73" s="7" t="inlineStr">
        <is>
          <t>SHOP-00072</t>
        </is>
      </c>
      <c r="B73" s="7" t="inlineStr">
        <is>
          <t>宠物床铺垫子 V2</t>
        </is>
      </c>
      <c r="C73" s="7" t="inlineStr">
        <is>
          <t>PET-宠物-0072</t>
        </is>
      </c>
      <c r="D73" s="7" t="inlineStr">
        <is>
          <t>宠物服饰</t>
        </is>
      </c>
      <c r="E73" s="7" t="n">
        <v>2</v>
      </c>
      <c r="F73" s="7" t="inlineStr">
        <is>
          <t>有货</t>
        </is>
      </c>
      <c r="G73" s="8" t="n">
        <v>26.19</v>
      </c>
      <c r="H73" s="8" t="n">
        <v>15</v>
      </c>
      <c r="I73" s="8" t="n">
        <v>0</v>
      </c>
      <c r="J73" s="8" t="n">
        <v>0</v>
      </c>
      <c r="K73" s="8">
        <f>G73+H73+I73+J73</f>
        <v/>
      </c>
      <c r="L73" s="9">
        <f>$B$3</f>
        <v/>
      </c>
      <c r="M73" s="9">
        <f>$B$4</f>
        <v/>
      </c>
      <c r="N73" s="8">
        <f>K73/(1-(L73+M73))</f>
        <v/>
      </c>
      <c r="O73" s="8">
        <f>ROUND(K73/(1-(L73+M73)),2)</f>
        <v/>
      </c>
      <c r="P73" s="8" t="n">
        <v>80.8</v>
      </c>
      <c r="Q73" s="7">
        <f>IF(N73&lt;P73,"低于亚马逊",IF(N73&lt;P73*1.1,"接近亚马逊","高于亚马逊"))</f>
        <v/>
      </c>
      <c r="R73" s="8">
        <f>ROUND(N73*$B$12,2)</f>
        <v/>
      </c>
      <c r="S73" s="9">
        <f>(O73-N73)/O73</f>
        <v/>
      </c>
      <c r="T73" s="9">
        <f>(N73-K73)/N73</f>
        <v/>
      </c>
      <c r="U73" s="9">
        <f>(N73-K73)/N73-$B$4</f>
        <v/>
      </c>
      <c r="V73" s="7" t="inlineStr">
        <is>
          <t>已匹配</t>
        </is>
      </c>
    </row>
    <row r="74">
      <c r="A74" s="7" t="inlineStr">
        <is>
          <t>SHOP-00073</t>
        </is>
      </c>
      <c r="B74" s="7" t="inlineStr">
        <is>
          <t>宠物喂食碗套装 V2</t>
        </is>
      </c>
      <c r="C74" s="7" t="inlineStr">
        <is>
          <t>PET-宠物-0073</t>
        </is>
      </c>
      <c r="D74" s="7" t="inlineStr">
        <is>
          <t>宠物美容</t>
        </is>
      </c>
      <c r="E74" s="7" t="n">
        <v>4</v>
      </c>
      <c r="F74" s="7" t="inlineStr">
        <is>
          <t>库存紧张</t>
        </is>
      </c>
      <c r="G74" s="8" t="n">
        <v>20.48</v>
      </c>
      <c r="H74" s="8" t="n">
        <v>8.970000000000001</v>
      </c>
      <c r="I74" s="8" t="n">
        <v>0</v>
      </c>
      <c r="J74" s="8" t="n">
        <v>0</v>
      </c>
      <c r="K74" s="8">
        <f>G74+H74+I74+J74</f>
        <v/>
      </c>
      <c r="L74" s="9">
        <f>$B$3</f>
        <v/>
      </c>
      <c r="M74" s="9">
        <f>$B$4</f>
        <v/>
      </c>
      <c r="N74" s="8">
        <f>K74/(1-(L74+M74))</f>
        <v/>
      </c>
      <c r="O74" s="8">
        <f>ROUND(K74/(1-(L74+M74)),2)</f>
        <v/>
      </c>
      <c r="P74" s="8" t="n">
        <v>67.40000000000001</v>
      </c>
      <c r="Q74" s="7">
        <f>IF(N74&lt;P74,"低于亚马逊",IF(N74&lt;P74*1.1,"接近亚马逊","高于亚马逊"))</f>
        <v/>
      </c>
      <c r="R74" s="8">
        <f>ROUND(N74*$B$12,2)</f>
        <v/>
      </c>
      <c r="S74" s="9">
        <f>(O74-N74)/O74</f>
        <v/>
      </c>
      <c r="T74" s="9">
        <f>(N74-K74)/N74</f>
        <v/>
      </c>
      <c r="U74" s="9">
        <f>(N74-K74)/N74-$B$4</f>
        <v/>
      </c>
      <c r="V74" s="7" t="inlineStr">
        <is>
          <t>已匹配</t>
        </is>
      </c>
    </row>
    <row r="75">
      <c r="A75" s="7" t="inlineStr">
        <is>
          <t>SHOP-00074</t>
        </is>
      </c>
      <c r="B75" s="7" t="inlineStr">
        <is>
          <t>宠物饮水瓶 V2</t>
        </is>
      </c>
      <c r="C75" s="7" t="inlineStr">
        <is>
          <t>PET-宠物-0074</t>
        </is>
      </c>
      <c r="D75" s="7" t="inlineStr">
        <is>
          <t>宠物玩具</t>
        </is>
      </c>
      <c r="E75" s="7" t="n">
        <v>3</v>
      </c>
      <c r="F75" s="7" t="inlineStr">
        <is>
          <t>有货</t>
        </is>
      </c>
      <c r="G75" s="8" t="n">
        <v>20</v>
      </c>
      <c r="H75" s="8" t="n">
        <v>8.970000000000001</v>
      </c>
      <c r="I75" s="8" t="n">
        <v>0</v>
      </c>
      <c r="J75" s="8" t="n">
        <v>0</v>
      </c>
      <c r="K75" s="8">
        <f>G75+H75+I75+J75</f>
        <v/>
      </c>
      <c r="L75" s="9">
        <f>$B$3</f>
        <v/>
      </c>
      <c r="M75" s="9">
        <f>$B$4</f>
        <v/>
      </c>
      <c r="N75" s="8">
        <f>K75/(1-(L75+M75))</f>
        <v/>
      </c>
      <c r="O75" s="8">
        <f>ROUND(K75/(1-(L75+M75)),2)</f>
        <v/>
      </c>
      <c r="P75" s="8" t="n">
        <v>45.42</v>
      </c>
      <c r="Q75" s="7">
        <f>IF(N75&lt;P75,"低于亚马逊",IF(N75&lt;P75*1.1,"接近亚马逊","高于亚马逊"))</f>
        <v/>
      </c>
      <c r="R75" s="8">
        <f>ROUND(N75*$B$12,2)</f>
        <v/>
      </c>
      <c r="S75" s="9">
        <f>(O75-N75)/O75</f>
        <v/>
      </c>
      <c r="T75" s="9">
        <f>(N75-K75)/N75</f>
        <v/>
      </c>
      <c r="U75" s="9">
        <f>(N75-K75)/N75-$B$4</f>
        <v/>
      </c>
      <c r="V75" s="7" t="inlineStr">
        <is>
          <t>已匹配</t>
        </is>
      </c>
    </row>
    <row r="76">
      <c r="A76" s="7" t="inlineStr">
        <is>
          <t>SHOP-00075</t>
        </is>
      </c>
      <c r="B76" s="7" t="inlineStr">
        <is>
          <t>宠物零食袋 V2</t>
        </is>
      </c>
      <c r="C76" s="7" t="inlineStr">
        <is>
          <t>PET-宠物-0075</t>
        </is>
      </c>
      <c r="D76" s="7" t="inlineStr">
        <is>
          <t>宠物喂食</t>
        </is>
      </c>
      <c r="E76" s="7" t="n">
        <v>2</v>
      </c>
      <c r="F76" s="7" t="inlineStr">
        <is>
          <t>缺货</t>
        </is>
      </c>
      <c r="G76" s="8" t="n">
        <v>44.1</v>
      </c>
      <c r="H76" s="8" t="n">
        <v>15</v>
      </c>
      <c r="I76" s="8" t="n">
        <v>0</v>
      </c>
      <c r="J76" s="8" t="n">
        <v>0</v>
      </c>
      <c r="K76" s="8">
        <f>G76+H76+I76+J76</f>
        <v/>
      </c>
      <c r="L76" s="9">
        <f>$B$3</f>
        <v/>
      </c>
      <c r="M76" s="9">
        <f>$B$4</f>
        <v/>
      </c>
      <c r="N76" s="8">
        <f>K76/(1-(L76+M76))</f>
        <v/>
      </c>
      <c r="O76" s="8">
        <f>ROUND(K76/(1-(L76+M76)),2)</f>
        <v/>
      </c>
      <c r="P76" s="8" t="n">
        <v>141.72</v>
      </c>
      <c r="Q76" s="7">
        <f>IF(N76&lt;P76,"低于亚马逊",IF(N76&lt;P76*1.1,"接近亚马逊","高于亚马逊"))</f>
        <v/>
      </c>
      <c r="R76" s="8">
        <f>ROUND(N76*$B$12,2)</f>
        <v/>
      </c>
      <c r="S76" s="9">
        <f>(O76-N76)/O76</f>
        <v/>
      </c>
      <c r="T76" s="9">
        <f>(N76-K76)/N76</f>
        <v/>
      </c>
      <c r="U76" s="9">
        <f>(N76-K76)/N76-$B$4</f>
        <v/>
      </c>
      <c r="V76" s="7" t="inlineStr">
        <is>
          <t>已匹配</t>
        </is>
      </c>
    </row>
    <row r="77">
      <c r="A77" s="7" t="inlineStr">
        <is>
          <t>SHOP-00076</t>
        </is>
      </c>
      <c r="B77" s="7" t="inlineStr">
        <is>
          <t>宠物玩具球 V2</t>
        </is>
      </c>
      <c r="C77" s="7" t="inlineStr">
        <is>
          <t>PET-宠物-0076</t>
        </is>
      </c>
      <c r="D77" s="7" t="inlineStr">
        <is>
          <t>宠物出行</t>
        </is>
      </c>
      <c r="E77" s="7" t="n">
        <v>3</v>
      </c>
      <c r="F77" s="7" t="inlineStr">
        <is>
          <t>库存紧张</t>
        </is>
      </c>
      <c r="G77" s="8" t="n">
        <v>27</v>
      </c>
      <c r="H77" s="8" t="n">
        <v>15</v>
      </c>
      <c r="I77" s="8" t="n">
        <v>0</v>
      </c>
      <c r="J77" s="8" t="n">
        <v>0</v>
      </c>
      <c r="K77" s="8">
        <f>G77+H77+I77+J77</f>
        <v/>
      </c>
      <c r="L77" s="9">
        <f>$B$3</f>
        <v/>
      </c>
      <c r="M77" s="9">
        <f>$B$4</f>
        <v/>
      </c>
      <c r="N77" s="8">
        <f>K77/(1-(L77+M77))</f>
        <v/>
      </c>
      <c r="O77" s="8">
        <f>ROUND(K77/(1-(L77+M77)),2)</f>
        <v/>
      </c>
      <c r="P77" s="8" t="n">
        <v>61.14</v>
      </c>
      <c r="Q77" s="7">
        <f>IF(N77&lt;P77,"低于亚马逊",IF(N77&lt;P77*1.1,"接近亚马逊","高于亚马逊"))</f>
        <v/>
      </c>
      <c r="R77" s="8">
        <f>ROUND(N77*$B$12,2)</f>
        <v/>
      </c>
      <c r="S77" s="9">
        <f>(O77-N77)/O77</f>
        <v/>
      </c>
      <c r="T77" s="9">
        <f>(N77-K77)/N77</f>
        <v/>
      </c>
      <c r="U77" s="9">
        <f>(N77-K77)/N77-$B$4</f>
        <v/>
      </c>
      <c r="V77" s="7" t="inlineStr">
        <is>
          <t>已匹配</t>
        </is>
      </c>
    </row>
    <row r="78">
      <c r="A78" s="7" t="inlineStr">
        <is>
          <t>SHOP-00077</t>
        </is>
      </c>
      <c r="B78" s="7" t="inlineStr">
        <is>
          <t>宠物毛绒玩偶 V2</t>
        </is>
      </c>
      <c r="C78" s="7" t="inlineStr">
        <is>
          <t>PET-宠物-0077</t>
        </is>
      </c>
      <c r="D78" s="7" t="inlineStr">
        <is>
          <t>宠物清洁</t>
        </is>
      </c>
      <c r="E78" s="7" t="n">
        <v>2</v>
      </c>
      <c r="F78" s="7" t="inlineStr">
        <is>
          <t>缺货</t>
        </is>
      </c>
      <c r="G78" s="8" t="n">
        <v>20.9</v>
      </c>
      <c r="H78" s="8" t="n">
        <v>8.970000000000001</v>
      </c>
      <c r="I78" s="8" t="n">
        <v>0</v>
      </c>
      <c r="J78" s="8" t="n">
        <v>0</v>
      </c>
      <c r="K78" s="8">
        <f>G78+H78+I78+J78</f>
        <v/>
      </c>
      <c r="L78" s="9">
        <f>$B$3</f>
        <v/>
      </c>
      <c r="M78" s="9">
        <f>$B$4</f>
        <v/>
      </c>
      <c r="N78" s="8">
        <f>K78/(1-(L78+M78))</f>
        <v/>
      </c>
      <c r="O78" s="8">
        <f>ROUND(K78/(1-(L78+M78)),2)</f>
        <v/>
      </c>
      <c r="P78" s="8" t="n">
        <v>73.14</v>
      </c>
      <c r="Q78" s="7">
        <f>IF(N78&lt;P78,"低于亚马逊",IF(N78&lt;P78*1.1,"接近亚马逊","高于亚马逊"))</f>
        <v/>
      </c>
      <c r="R78" s="8">
        <f>ROUND(N78*$B$12,2)</f>
        <v/>
      </c>
      <c r="S78" s="9">
        <f>(O78-N78)/O78</f>
        <v/>
      </c>
      <c r="T78" s="9">
        <f>(N78-K78)/N78</f>
        <v/>
      </c>
      <c r="U78" s="9">
        <f>(N78-K78)/N78-$B$4</f>
        <v/>
      </c>
      <c r="V78" s="7" t="inlineStr">
        <is>
          <t>已匹配</t>
        </is>
      </c>
    </row>
    <row r="79">
      <c r="A79" s="7" t="inlineStr">
        <is>
          <t>SHOP-00078</t>
        </is>
      </c>
      <c r="B79" s="7" t="inlineStr">
        <is>
          <t>宠物猫爬架配件 V2</t>
        </is>
      </c>
      <c r="C79" s="7" t="inlineStr">
        <is>
          <t>PET-宠物-0078</t>
        </is>
      </c>
      <c r="D79" s="7" t="inlineStr">
        <is>
          <t>宠物服饰</t>
        </is>
      </c>
      <c r="E79" s="7" t="n">
        <v>4</v>
      </c>
      <c r="F79" s="7" t="inlineStr">
        <is>
          <t>缺货</t>
        </is>
      </c>
      <c r="G79" s="8" t="n">
        <v>25.32</v>
      </c>
      <c r="H79" s="8" t="n">
        <v>15</v>
      </c>
      <c r="I79" s="8" t="n">
        <v>0</v>
      </c>
      <c r="J79" s="8" t="n">
        <v>0</v>
      </c>
      <c r="K79" s="8">
        <f>G79+H79+I79+J79</f>
        <v/>
      </c>
      <c r="L79" s="9">
        <f>$B$3</f>
        <v/>
      </c>
      <c r="M79" s="9">
        <f>$B$4</f>
        <v/>
      </c>
      <c r="N79" s="8">
        <f>K79/(1-(L79+M79))</f>
        <v/>
      </c>
      <c r="O79" s="8">
        <f>ROUND(K79/(1-(L79+M79)),2)</f>
        <v/>
      </c>
      <c r="P79" s="8" t="n">
        <v>73.09999999999999</v>
      </c>
      <c r="Q79" s="7">
        <f>IF(N79&lt;P79,"低于亚马逊",IF(N79&lt;P79*1.1,"接近亚马逊","高于亚马逊"))</f>
        <v/>
      </c>
      <c r="R79" s="8">
        <f>ROUND(N79*$B$12,2)</f>
        <v/>
      </c>
      <c r="S79" s="9">
        <f>(O79-N79)/O79</f>
        <v/>
      </c>
      <c r="T79" s="9">
        <f>(N79-K79)/N79</f>
        <v/>
      </c>
      <c r="U79" s="9">
        <f>(N79-K79)/N79-$B$4</f>
        <v/>
      </c>
      <c r="V79" s="7" t="inlineStr">
        <is>
          <t>已匹配</t>
        </is>
      </c>
    </row>
    <row r="80">
      <c r="A80" s="7" t="inlineStr">
        <is>
          <t>SHOP-00079</t>
        </is>
      </c>
      <c r="B80" s="7" t="inlineStr">
        <is>
          <t>宠物狗垫子 V2</t>
        </is>
      </c>
      <c r="C80" s="7" t="inlineStr">
        <is>
          <t>PET-宠物-0079</t>
        </is>
      </c>
      <c r="D80" s="7" t="inlineStr">
        <is>
          <t>宠物美容</t>
        </is>
      </c>
      <c r="E80" s="7" t="n">
        <v>3</v>
      </c>
      <c r="F80" s="7" t="inlineStr">
        <is>
          <t>缺货</t>
        </is>
      </c>
      <c r="G80" s="8" t="n">
        <v>24.58</v>
      </c>
      <c r="H80" s="8" t="n">
        <v>8.970000000000001</v>
      </c>
      <c r="I80" s="8" t="n">
        <v>0</v>
      </c>
      <c r="J80" s="8" t="n">
        <v>0</v>
      </c>
      <c r="K80" s="8">
        <f>G80+H80+I80+J80</f>
        <v/>
      </c>
      <c r="L80" s="9">
        <f>$B$3</f>
        <v/>
      </c>
      <c r="M80" s="9">
        <f>$B$4</f>
        <v/>
      </c>
      <c r="N80" s="8">
        <f>K80/(1-(L80+M80))</f>
        <v/>
      </c>
      <c r="O80" s="8">
        <f>ROUND(K80/(1-(L80+M80)),2)</f>
        <v/>
      </c>
      <c r="P80" s="8" t="n">
        <v>58.5</v>
      </c>
      <c r="Q80" s="7">
        <f>IF(N80&lt;P80,"低于亚马逊",IF(N80&lt;P80*1.1,"接近亚马逊","高于亚马逊"))</f>
        <v/>
      </c>
      <c r="R80" s="8">
        <f>ROUND(N80*$B$12,2)</f>
        <v/>
      </c>
      <c r="S80" s="9">
        <f>(O80-N80)/O80</f>
        <v/>
      </c>
      <c r="T80" s="9">
        <f>(N80-K80)/N80</f>
        <v/>
      </c>
      <c r="U80" s="9">
        <f>(N80-K80)/N80-$B$4</f>
        <v/>
      </c>
      <c r="V80" s="7" t="inlineStr">
        <is>
          <t>已匹配</t>
        </is>
      </c>
    </row>
    <row r="81">
      <c r="A81" s="7" t="inlineStr">
        <is>
          <t>SHOP-00080</t>
        </is>
      </c>
      <c r="B81" s="7" t="inlineStr">
        <is>
          <t>宠物推车雨棚 V2</t>
        </is>
      </c>
      <c r="C81" s="7" t="inlineStr">
        <is>
          <t>PET-宠物-0080</t>
        </is>
      </c>
      <c r="D81" s="7" t="inlineStr">
        <is>
          <t>宠物玩具</t>
        </is>
      </c>
      <c r="E81" s="7" t="n">
        <v>2</v>
      </c>
      <c r="F81" s="7" t="inlineStr">
        <is>
          <t>库存紧张</t>
        </is>
      </c>
      <c r="G81" s="8" t="n">
        <v>12.7</v>
      </c>
      <c r="H81" s="8" t="n">
        <v>8.970000000000001</v>
      </c>
      <c r="I81" s="8" t="n">
        <v>0</v>
      </c>
      <c r="J81" s="8" t="n">
        <v>0</v>
      </c>
      <c r="K81" s="8">
        <f>G81+H81+I81+J81</f>
        <v/>
      </c>
      <c r="L81" s="9">
        <f>$B$3</f>
        <v/>
      </c>
      <c r="M81" s="9">
        <f>$B$4</f>
        <v/>
      </c>
      <c r="N81" s="8">
        <f>K81/(1-(L81+M81))</f>
        <v/>
      </c>
      <c r="O81" s="8">
        <f>ROUND(K81/(1-(L81+M81)),2)</f>
        <v/>
      </c>
      <c r="P81" s="8" t="n">
        <v>30.85</v>
      </c>
      <c r="Q81" s="7">
        <f>IF(N81&lt;P81,"低于亚马逊",IF(N81&lt;P81*1.1,"接近亚马逊","高于亚马逊"))</f>
        <v/>
      </c>
      <c r="R81" s="8">
        <f>ROUND(N81*$B$12,2)</f>
        <v/>
      </c>
      <c r="S81" s="9">
        <f>(O81-N81)/O81</f>
        <v/>
      </c>
      <c r="T81" s="9">
        <f>(N81-K81)/N81</f>
        <v/>
      </c>
      <c r="U81" s="9">
        <f>(N81-K81)/N81-$B$4</f>
        <v/>
      </c>
      <c r="V81" s="7" t="inlineStr">
        <is>
          <t>已匹配</t>
        </is>
      </c>
    </row>
    <row r="82">
      <c r="A82" s="7" t="inlineStr">
        <is>
          <t>SHOP-00081</t>
        </is>
      </c>
      <c r="B82" s="7" t="inlineStr">
        <is>
          <t>宠物外出水杯 V2</t>
        </is>
      </c>
      <c r="C82" s="7" t="inlineStr">
        <is>
          <t>PET-宠物-0081</t>
        </is>
      </c>
      <c r="D82" s="7" t="inlineStr">
        <is>
          <t>宠物喂食</t>
        </is>
      </c>
      <c r="E82" s="7" t="n">
        <v>3</v>
      </c>
      <c r="F82" s="7" t="inlineStr">
        <is>
          <t>有货</t>
        </is>
      </c>
      <c r="G82" s="8" t="n">
        <v>35.46</v>
      </c>
      <c r="H82" s="8" t="n">
        <v>15</v>
      </c>
      <c r="I82" s="8" t="n">
        <v>0</v>
      </c>
      <c r="J82" s="8" t="n">
        <v>0</v>
      </c>
      <c r="K82" s="8">
        <f>G82+H82+I82+J82</f>
        <v/>
      </c>
      <c r="L82" s="9">
        <f>$B$3</f>
        <v/>
      </c>
      <c r="M82" s="9">
        <f>$B$4</f>
        <v/>
      </c>
      <c r="N82" s="8">
        <f>K82/(1-(L82+M82))</f>
        <v/>
      </c>
      <c r="O82" s="8">
        <f>ROUND(K82/(1-(L82+M82)),2)</f>
        <v/>
      </c>
      <c r="P82" s="8" t="n">
        <v>85.68000000000001</v>
      </c>
      <c r="Q82" s="7">
        <f>IF(N82&lt;P82,"低于亚马逊",IF(N82&lt;P82*1.1,"接近亚马逊","高于亚马逊"))</f>
        <v/>
      </c>
      <c r="R82" s="8">
        <f>ROUND(N82*$B$12,2)</f>
        <v/>
      </c>
      <c r="S82" s="9">
        <f>(O82-N82)/O82</f>
        <v/>
      </c>
      <c r="T82" s="9">
        <f>(N82-K82)/N82</f>
        <v/>
      </c>
      <c r="U82" s="9">
        <f>(N82-K82)/N82-$B$4</f>
        <v/>
      </c>
      <c r="V82" s="7" t="inlineStr">
        <is>
          <t>已匹配</t>
        </is>
      </c>
    </row>
    <row r="83">
      <c r="A83" s="7" t="inlineStr">
        <is>
          <t>SHOP-00082</t>
        </is>
      </c>
      <c r="B83" s="7" t="inlineStr">
        <is>
          <t>宠物驱虫滴剂 V2</t>
        </is>
      </c>
      <c r="C83" s="7" t="inlineStr">
        <is>
          <t>PET-宠物-0082</t>
        </is>
      </c>
      <c r="D83" s="7" t="inlineStr">
        <is>
          <t>宠物出行</t>
        </is>
      </c>
      <c r="E83" s="7" t="n">
        <v>2</v>
      </c>
      <c r="F83" s="7" t="inlineStr">
        <is>
          <t>缺货</t>
        </is>
      </c>
      <c r="G83" s="8" t="n">
        <v>25.67</v>
      </c>
      <c r="H83" s="8" t="n">
        <v>15</v>
      </c>
      <c r="I83" s="8" t="n">
        <v>0</v>
      </c>
      <c r="J83" s="8" t="n">
        <v>0</v>
      </c>
      <c r="K83" s="8">
        <f>G83+H83+I83+J83</f>
        <v/>
      </c>
      <c r="L83" s="9">
        <f>$B$3</f>
        <v/>
      </c>
      <c r="M83" s="9">
        <f>$B$4</f>
        <v/>
      </c>
      <c r="N83" s="8">
        <f>K83/(1-(L83+M83))</f>
        <v/>
      </c>
      <c r="O83" s="8">
        <f>ROUND(K83/(1-(L83+M83)),2)</f>
        <v/>
      </c>
      <c r="P83" s="8" t="n">
        <v>80.67</v>
      </c>
      <c r="Q83" s="7">
        <f>IF(N83&lt;P83,"低于亚马逊",IF(N83&lt;P83*1.1,"接近亚马逊","高于亚马逊"))</f>
        <v/>
      </c>
      <c r="R83" s="8">
        <f>ROUND(N83*$B$12,2)</f>
        <v/>
      </c>
      <c r="S83" s="9">
        <f>(O83-N83)/O83</f>
        <v/>
      </c>
      <c r="T83" s="9">
        <f>(N83-K83)/N83</f>
        <v/>
      </c>
      <c r="U83" s="9">
        <f>(N83-K83)/N83-$B$4</f>
        <v/>
      </c>
      <c r="V83" s="7" t="inlineStr">
        <is>
          <t>已匹配</t>
        </is>
      </c>
    </row>
    <row r="84">
      <c r="A84" s="7" t="inlineStr">
        <is>
          <t>SHOP-00083</t>
        </is>
      </c>
      <c r="B84" s="7" t="inlineStr">
        <is>
          <t>宠物耳部清洁液 V2</t>
        </is>
      </c>
      <c r="C84" s="7" t="inlineStr">
        <is>
          <t>PET-宠物-0083</t>
        </is>
      </c>
      <c r="D84" s="7" t="inlineStr">
        <is>
          <t>宠物清洁</t>
        </is>
      </c>
      <c r="E84" s="7" t="n">
        <v>1</v>
      </c>
      <c r="F84" s="7" t="inlineStr">
        <is>
          <t>有货</t>
        </is>
      </c>
      <c r="G84" s="8" t="n">
        <v>12.2</v>
      </c>
      <c r="H84" s="8" t="n">
        <v>8.970000000000001</v>
      </c>
      <c r="I84" s="8" t="n">
        <v>0</v>
      </c>
      <c r="J84" s="8" t="n">
        <v>0</v>
      </c>
      <c r="K84" s="8">
        <f>G84+H84+I84+J84</f>
        <v/>
      </c>
      <c r="L84" s="9">
        <f>$B$3</f>
        <v/>
      </c>
      <c r="M84" s="9">
        <f>$B$4</f>
        <v/>
      </c>
      <c r="N84" s="8">
        <f>K84/(1-(L84+M84))</f>
        <v/>
      </c>
      <c r="O84" s="8">
        <f>ROUND(K84/(1-(L84+M84)),2)</f>
        <v/>
      </c>
      <c r="P84" s="8" t="n">
        <v>38.77</v>
      </c>
      <c r="Q84" s="7">
        <f>IF(N84&lt;P84,"低于亚马逊",IF(N84&lt;P84*1.1,"接近亚马逊","高于亚马逊"))</f>
        <v/>
      </c>
      <c r="R84" s="8">
        <f>ROUND(N84*$B$12,2)</f>
        <v/>
      </c>
      <c r="S84" s="9">
        <f>(O84-N84)/O84</f>
        <v/>
      </c>
      <c r="T84" s="9">
        <f>(N84-K84)/N84</f>
        <v/>
      </c>
      <c r="U84" s="9">
        <f>(N84-K84)/N84-$B$4</f>
        <v/>
      </c>
      <c r="V84" s="7" t="inlineStr">
        <is>
          <t>已匹配</t>
        </is>
      </c>
    </row>
    <row r="85">
      <c r="A85" s="7" t="inlineStr">
        <is>
          <t>SHOP-00084</t>
        </is>
      </c>
      <c r="B85" s="7" t="inlineStr">
        <is>
          <t>宠物眼部护理液 V2</t>
        </is>
      </c>
      <c r="C85" s="7" t="inlineStr">
        <is>
          <t>PET-宠物-0084</t>
        </is>
      </c>
      <c r="D85" s="7" t="inlineStr">
        <is>
          <t>宠物服饰</t>
        </is>
      </c>
      <c r="E85" s="7" t="n">
        <v>3</v>
      </c>
      <c r="F85" s="7" t="inlineStr">
        <is>
          <t>有货</t>
        </is>
      </c>
      <c r="G85" s="8" t="n">
        <v>29.16</v>
      </c>
      <c r="H85" s="8" t="n">
        <v>15</v>
      </c>
      <c r="I85" s="8" t="n">
        <v>0</v>
      </c>
      <c r="J85" s="8" t="n">
        <v>0</v>
      </c>
      <c r="K85" s="8">
        <f>G85+H85+I85+J85</f>
        <v/>
      </c>
      <c r="L85" s="9">
        <f>$B$3</f>
        <v/>
      </c>
      <c r="M85" s="9">
        <f>$B$4</f>
        <v/>
      </c>
      <c r="N85" s="8">
        <f>K85/(1-(L85+M85))</f>
        <v/>
      </c>
      <c r="O85" s="8">
        <f>ROUND(K85/(1-(L85+M85)),2)</f>
        <v/>
      </c>
      <c r="P85" s="8" t="n">
        <v>71.81999999999999</v>
      </c>
      <c r="Q85" s="7">
        <f>IF(N85&lt;P85,"低于亚马逊",IF(N85&lt;P85*1.1,"接近亚马逊","高于亚马逊"))</f>
        <v/>
      </c>
      <c r="R85" s="8">
        <f>ROUND(N85*$B$12,2)</f>
        <v/>
      </c>
      <c r="S85" s="9">
        <f>(O85-N85)/O85</f>
        <v/>
      </c>
      <c r="T85" s="9">
        <f>(N85-K85)/N85</f>
        <v/>
      </c>
      <c r="U85" s="9">
        <f>(N85-K85)/N85-$B$4</f>
        <v/>
      </c>
      <c r="V85" s="7" t="inlineStr">
        <is>
          <t>已匹配</t>
        </is>
      </c>
    </row>
    <row r="86">
      <c r="A86" s="7" t="inlineStr">
        <is>
          <t>SHOP-00085</t>
        </is>
      </c>
      <c r="B86" s="7" t="inlineStr">
        <is>
          <t>宠物益生菌粉 V2</t>
        </is>
      </c>
      <c r="C86" s="7" t="inlineStr">
        <is>
          <t>PET-宠物-0085</t>
        </is>
      </c>
      <c r="D86" s="7" t="inlineStr">
        <is>
          <t>宠物美容</t>
        </is>
      </c>
      <c r="E86" s="7" t="n">
        <v>1</v>
      </c>
      <c r="F86" s="7" t="inlineStr">
        <is>
          <t>有货</t>
        </is>
      </c>
      <c r="G86" s="8" t="n">
        <v>41.31</v>
      </c>
      <c r="H86" s="8" t="n">
        <v>15</v>
      </c>
      <c r="I86" s="8" t="n">
        <v>0</v>
      </c>
      <c r="J86" s="8" t="n">
        <v>0</v>
      </c>
      <c r="K86" s="8">
        <f>G86+H86+I86+J86</f>
        <v/>
      </c>
      <c r="L86" s="9">
        <f>$B$3</f>
        <v/>
      </c>
      <c r="M86" s="9">
        <f>$B$4</f>
        <v/>
      </c>
      <c r="N86" s="8">
        <f>K86/(1-(L86+M86))</f>
        <v/>
      </c>
      <c r="O86" s="8">
        <f>ROUND(K86/(1-(L86+M86)),2)</f>
        <v/>
      </c>
      <c r="P86" s="8" t="n">
        <v>138.49</v>
      </c>
      <c r="Q86" s="7">
        <f>IF(N86&lt;P86,"低于亚马逊",IF(N86&lt;P86*1.1,"接近亚马逊","高于亚马逊"))</f>
        <v/>
      </c>
      <c r="R86" s="8">
        <f>ROUND(N86*$B$12,2)</f>
        <v/>
      </c>
      <c r="S86" s="9">
        <f>(O86-N86)/O86</f>
        <v/>
      </c>
      <c r="T86" s="9">
        <f>(N86-K86)/N86</f>
        <v/>
      </c>
      <c r="U86" s="9">
        <f>(N86-K86)/N86-$B$4</f>
        <v/>
      </c>
      <c r="V86" s="7" t="inlineStr">
        <is>
          <t>已匹配</t>
        </is>
      </c>
    </row>
    <row r="87">
      <c r="A87" s="7" t="inlineStr">
        <is>
          <t>SHOP-00086</t>
        </is>
      </c>
      <c r="B87" s="7" t="inlineStr">
        <is>
          <t>宠物钙片营养品 V2</t>
        </is>
      </c>
      <c r="C87" s="7" t="inlineStr">
        <is>
          <t>PET-宠物-0086</t>
        </is>
      </c>
      <c r="D87" s="7" t="inlineStr">
        <is>
          <t>宠物玩具</t>
        </is>
      </c>
      <c r="E87" s="7" t="n">
        <v>4</v>
      </c>
      <c r="F87" s="7" t="inlineStr">
        <is>
          <t>有货</t>
        </is>
      </c>
      <c r="G87" s="8" t="n">
        <v>16.11</v>
      </c>
      <c r="H87" s="8" t="n">
        <v>8.970000000000001</v>
      </c>
      <c r="I87" s="8" t="n">
        <v>0</v>
      </c>
      <c r="J87" s="8" t="n">
        <v>0</v>
      </c>
      <c r="K87" s="8">
        <f>G87+H87+I87+J87</f>
        <v/>
      </c>
      <c r="L87" s="9">
        <f>$B$3</f>
        <v/>
      </c>
      <c r="M87" s="9">
        <f>$B$4</f>
        <v/>
      </c>
      <c r="N87" s="8">
        <f>K87/(1-(L87+M87))</f>
        <v/>
      </c>
      <c r="O87" s="8">
        <f>ROUND(K87/(1-(L87+M87)),2)</f>
        <v/>
      </c>
      <c r="P87" s="8" t="n">
        <v>45.58</v>
      </c>
      <c r="Q87" s="7">
        <f>IF(N87&lt;P87,"低于亚马逊",IF(N87&lt;P87*1.1,"接近亚马逊","高于亚马逊"))</f>
        <v/>
      </c>
      <c r="R87" s="8">
        <f>ROUND(N87*$B$12,2)</f>
        <v/>
      </c>
      <c r="S87" s="9">
        <f>(O87-N87)/O87</f>
        <v/>
      </c>
      <c r="T87" s="9">
        <f>(N87-K87)/N87</f>
        <v/>
      </c>
      <c r="U87" s="9">
        <f>(N87-K87)/N87-$B$4</f>
        <v/>
      </c>
      <c r="V87" s="7" t="inlineStr">
        <is>
          <t>已匹配</t>
        </is>
      </c>
    </row>
    <row r="88">
      <c r="A88" s="7" t="inlineStr">
        <is>
          <t>SHOP-00087</t>
        </is>
      </c>
      <c r="B88" s="7" t="inlineStr">
        <is>
          <t>宠物化毛膏 V2</t>
        </is>
      </c>
      <c r="C88" s="7" t="inlineStr">
        <is>
          <t>PET-宠物-0087</t>
        </is>
      </c>
      <c r="D88" s="7" t="inlineStr">
        <is>
          <t>宠物喂食</t>
        </is>
      </c>
      <c r="E88" s="7" t="n">
        <v>4</v>
      </c>
      <c r="F88" s="7" t="inlineStr">
        <is>
          <t>库存紧张</t>
        </is>
      </c>
      <c r="G88" s="8" t="n">
        <v>36.24</v>
      </c>
      <c r="H88" s="8" t="n">
        <v>15</v>
      </c>
      <c r="I88" s="8" t="n">
        <v>0</v>
      </c>
      <c r="J88" s="8" t="n">
        <v>0</v>
      </c>
      <c r="K88" s="8">
        <f>G88+H88+I88+J88</f>
        <v/>
      </c>
      <c r="L88" s="9">
        <f>$B$3</f>
        <v/>
      </c>
      <c r="M88" s="9">
        <f>$B$4</f>
        <v/>
      </c>
      <c r="N88" s="8">
        <f>K88/(1-(L88+M88))</f>
        <v/>
      </c>
      <c r="O88" s="8">
        <f>ROUND(K88/(1-(L88+M88)),2)</f>
        <v/>
      </c>
      <c r="P88" s="8" t="n">
        <v>119.52</v>
      </c>
      <c r="Q88" s="7">
        <f>IF(N88&lt;P88,"低于亚马逊",IF(N88&lt;P88*1.1,"接近亚马逊","高于亚马逊"))</f>
        <v/>
      </c>
      <c r="R88" s="8">
        <f>ROUND(N88*$B$12,2)</f>
        <v/>
      </c>
      <c r="S88" s="9">
        <f>(O88-N88)/O88</f>
        <v/>
      </c>
      <c r="T88" s="9">
        <f>(N88-K88)/N88</f>
        <v/>
      </c>
      <c r="U88" s="9">
        <f>(N88-K88)/N88-$B$4</f>
        <v/>
      </c>
      <c r="V88" s="7" t="inlineStr">
        <is>
          <t>已匹配</t>
        </is>
      </c>
    </row>
    <row r="89">
      <c r="A89" s="7" t="inlineStr">
        <is>
          <t>SHOP-00088</t>
        </is>
      </c>
      <c r="B89" s="7" t="inlineStr">
        <is>
          <t>宠物湿巾 V2</t>
        </is>
      </c>
      <c r="C89" s="7" t="inlineStr">
        <is>
          <t>PET-宠物-0088</t>
        </is>
      </c>
      <c r="D89" s="7" t="inlineStr">
        <is>
          <t>宠物出行</t>
        </is>
      </c>
      <c r="E89" s="7" t="n">
        <v>4</v>
      </c>
      <c r="F89" s="7" t="inlineStr">
        <is>
          <t>缺货</t>
        </is>
      </c>
      <c r="G89" s="8" t="n">
        <v>27.2</v>
      </c>
      <c r="H89" s="8" t="n">
        <v>15</v>
      </c>
      <c r="I89" s="8" t="n">
        <v>0</v>
      </c>
      <c r="J89" s="8" t="n">
        <v>0</v>
      </c>
      <c r="K89" s="8">
        <f>G89+H89+I89+J89</f>
        <v/>
      </c>
      <c r="L89" s="9">
        <f>$B$3</f>
        <v/>
      </c>
      <c r="M89" s="9">
        <f>$B$4</f>
        <v/>
      </c>
      <c r="N89" s="8">
        <f>K89/(1-(L89+M89))</f>
        <v/>
      </c>
      <c r="O89" s="8">
        <f>ROUND(K89/(1-(L89+M89)),2)</f>
        <v/>
      </c>
      <c r="P89" s="8" t="n">
        <v>90.83</v>
      </c>
      <c r="Q89" s="7">
        <f>IF(N89&lt;P89,"低于亚马逊",IF(N89&lt;P89*1.1,"接近亚马逊","高于亚马逊"))</f>
        <v/>
      </c>
      <c r="R89" s="8">
        <f>ROUND(N89*$B$12,2)</f>
        <v/>
      </c>
      <c r="S89" s="9">
        <f>(O89-N89)/O89</f>
        <v/>
      </c>
      <c r="T89" s="9">
        <f>(N89-K89)/N89</f>
        <v/>
      </c>
      <c r="U89" s="9">
        <f>(N89-K89)/N89-$B$4</f>
        <v/>
      </c>
      <c r="V89" s="7" t="inlineStr">
        <is>
          <t>已匹配</t>
        </is>
      </c>
    </row>
    <row r="90">
      <c r="A90" s="7" t="inlineStr">
        <is>
          <t>SHOP-00089</t>
        </is>
      </c>
      <c r="B90" s="7" t="inlineStr">
        <is>
          <t>宠物除臭喷雾 V2</t>
        </is>
      </c>
      <c r="C90" s="7" t="inlineStr">
        <is>
          <t>PET-宠物-0089</t>
        </is>
      </c>
      <c r="D90" s="7" t="inlineStr">
        <is>
          <t>宠物清洁</t>
        </is>
      </c>
      <c r="E90" s="7" t="n">
        <v>2</v>
      </c>
      <c r="F90" s="7" t="inlineStr">
        <is>
          <t>库存紧张</t>
        </is>
      </c>
      <c r="G90" s="8" t="n">
        <v>16.36</v>
      </c>
      <c r="H90" s="8" t="n">
        <v>8.970000000000001</v>
      </c>
      <c r="I90" s="8" t="n">
        <v>0</v>
      </c>
      <c r="J90" s="8" t="n">
        <v>0</v>
      </c>
      <c r="K90" s="8">
        <f>G90+H90+I90+J90</f>
        <v/>
      </c>
      <c r="L90" s="9">
        <f>$B$3</f>
        <v/>
      </c>
      <c r="M90" s="9">
        <f>$B$4</f>
        <v/>
      </c>
      <c r="N90" s="8">
        <f>K90/(1-(L90+M90))</f>
        <v/>
      </c>
      <c r="O90" s="8">
        <f>ROUND(K90/(1-(L90+M90)),2)</f>
        <v/>
      </c>
      <c r="P90" s="8" t="n">
        <v>39.55</v>
      </c>
      <c r="Q90" s="7">
        <f>IF(N90&lt;P90,"低于亚马逊",IF(N90&lt;P90*1.1,"接近亚马逊","高于亚马逊"))</f>
        <v/>
      </c>
      <c r="R90" s="8">
        <f>ROUND(N90*$B$12,2)</f>
        <v/>
      </c>
      <c r="S90" s="9">
        <f>(O90-N90)/O90</f>
        <v/>
      </c>
      <c r="T90" s="9">
        <f>(N90-K90)/N90</f>
        <v/>
      </c>
      <c r="U90" s="9">
        <f>(N90-K90)/N90-$B$4</f>
        <v/>
      </c>
      <c r="V90" s="7" t="inlineStr">
        <is>
          <t>已匹配</t>
        </is>
      </c>
    </row>
    <row r="91">
      <c r="A91" s="7" t="inlineStr">
        <is>
          <t>SHOP-00090</t>
        </is>
      </c>
      <c r="B91" s="7" t="inlineStr">
        <is>
          <t>宠物消毒湿巾 V2</t>
        </is>
      </c>
      <c r="C91" s="7" t="inlineStr">
        <is>
          <t>PET-宠物-0090</t>
        </is>
      </c>
      <c r="D91" s="7" t="inlineStr">
        <is>
          <t>宠物服饰</t>
        </is>
      </c>
      <c r="E91" s="7" t="n">
        <v>1</v>
      </c>
      <c r="F91" s="7" t="inlineStr">
        <is>
          <t>有货</t>
        </is>
      </c>
      <c r="G91" s="8" t="n">
        <v>8.33</v>
      </c>
      <c r="H91" s="8" t="n">
        <v>6.44</v>
      </c>
      <c r="I91" s="8" t="n">
        <v>0</v>
      </c>
      <c r="J91" s="8" t="n">
        <v>0</v>
      </c>
      <c r="K91" s="8">
        <f>G91+H91+I91+J91</f>
        <v/>
      </c>
      <c r="L91" s="9">
        <f>$B$3</f>
        <v/>
      </c>
      <c r="M91" s="9">
        <f>$B$4</f>
        <v/>
      </c>
      <c r="N91" s="8">
        <f>K91/(1-(L91+M91))</f>
        <v/>
      </c>
      <c r="O91" s="8">
        <f>ROUND(K91/(1-(L91+M91)),2)</f>
        <v/>
      </c>
      <c r="P91" s="8" t="n">
        <v>23.51</v>
      </c>
      <c r="Q91" s="7">
        <f>IF(N91&lt;P91,"低于亚马逊",IF(N91&lt;P91*1.1,"接近亚马逊","高于亚马逊"))</f>
        <v/>
      </c>
      <c r="R91" s="8">
        <f>ROUND(N91*$B$12,2)</f>
        <v/>
      </c>
      <c r="S91" s="9">
        <f>(O91-N91)/O91</f>
        <v/>
      </c>
      <c r="T91" s="9">
        <f>(N91-K91)/N91</f>
        <v/>
      </c>
      <c r="U91" s="9">
        <f>(N91-K91)/N91-$B$4</f>
        <v/>
      </c>
      <c r="V91" s="7" t="inlineStr">
        <is>
          <t>已匹配</t>
        </is>
      </c>
    </row>
    <row r="92">
      <c r="A92" s="7" t="inlineStr">
        <is>
          <t>SHOP-00091</t>
        </is>
      </c>
      <c r="B92" s="7" t="inlineStr">
        <is>
          <t>宠物粘毛器 V2</t>
        </is>
      </c>
      <c r="C92" s="7" t="inlineStr">
        <is>
          <t>PET-宠物-0091</t>
        </is>
      </c>
      <c r="D92" s="7" t="inlineStr">
        <is>
          <t>宠物美容</t>
        </is>
      </c>
      <c r="E92" s="7" t="n">
        <v>1</v>
      </c>
      <c r="F92" s="7" t="inlineStr">
        <is>
          <t>库存紧张</t>
        </is>
      </c>
      <c r="G92" s="8" t="n">
        <v>15.83</v>
      </c>
      <c r="H92" s="8" t="n">
        <v>8.970000000000001</v>
      </c>
      <c r="I92" s="8" t="n">
        <v>0</v>
      </c>
      <c r="J92" s="8" t="n">
        <v>0</v>
      </c>
      <c r="K92" s="8">
        <f>G92+H92+I92+J92</f>
        <v/>
      </c>
      <c r="L92" s="9">
        <f>$B$3</f>
        <v/>
      </c>
      <c r="M92" s="9">
        <f>$B$4</f>
        <v/>
      </c>
      <c r="N92" s="8">
        <f>K92/(1-(L92+M92))</f>
        <v/>
      </c>
      <c r="O92" s="8">
        <f>ROUND(K92/(1-(L92+M92)),2)</f>
        <v/>
      </c>
      <c r="P92" s="8" t="n">
        <v>35.96</v>
      </c>
      <c r="Q92" s="7">
        <f>IF(N92&lt;P92,"低于亚马逊",IF(N92&lt;P92*1.1,"接近亚马逊","高于亚马逊"))</f>
        <v/>
      </c>
      <c r="R92" s="8">
        <f>ROUND(N92*$B$12,2)</f>
        <v/>
      </c>
      <c r="S92" s="9">
        <f>(O92-N92)/O92</f>
        <v/>
      </c>
      <c r="T92" s="9">
        <f>(N92-K92)/N92</f>
        <v/>
      </c>
      <c r="U92" s="9">
        <f>(N92-K92)/N92-$B$4</f>
        <v/>
      </c>
      <c r="V92" s="7" t="inlineStr">
        <is>
          <t>已匹配</t>
        </is>
      </c>
    </row>
    <row r="93">
      <c r="A93" s="7" t="inlineStr">
        <is>
          <t>SHOP-00092</t>
        </is>
      </c>
      <c r="B93" s="7" t="inlineStr">
        <is>
          <t>宠物吸毛器 V2</t>
        </is>
      </c>
      <c r="C93" s="7" t="inlineStr">
        <is>
          <t>PET-宠物-0092</t>
        </is>
      </c>
      <c r="D93" s="7" t="inlineStr">
        <is>
          <t>宠物玩具</t>
        </is>
      </c>
      <c r="E93" s="7" t="n">
        <v>2</v>
      </c>
      <c r="F93" s="7" t="inlineStr">
        <is>
          <t>有货</t>
        </is>
      </c>
      <c r="G93" s="8" t="n">
        <v>39.33</v>
      </c>
      <c r="H93" s="8" t="n">
        <v>15</v>
      </c>
      <c r="I93" s="8" t="n">
        <v>0</v>
      </c>
      <c r="J93" s="8" t="n">
        <v>0</v>
      </c>
      <c r="K93" s="8">
        <f>G93+H93+I93+J93</f>
        <v/>
      </c>
      <c r="L93" s="9">
        <f>$B$3</f>
        <v/>
      </c>
      <c r="M93" s="9">
        <f>$B$4</f>
        <v/>
      </c>
      <c r="N93" s="8">
        <f>K93/(1-(L93+M93))</f>
        <v/>
      </c>
      <c r="O93" s="8">
        <f>ROUND(K93/(1-(L93+M93)),2)</f>
        <v/>
      </c>
      <c r="P93" s="8" t="n">
        <v>111.93</v>
      </c>
      <c r="Q93" s="7">
        <f>IF(N93&lt;P93,"低于亚马逊",IF(N93&lt;P93*1.1,"接近亚马逊","高于亚马逊"))</f>
        <v/>
      </c>
      <c r="R93" s="8">
        <f>ROUND(N93*$B$12,2)</f>
        <v/>
      </c>
      <c r="S93" s="9">
        <f>(O93-N93)/O93</f>
        <v/>
      </c>
      <c r="T93" s="9">
        <f>(N93-K93)/N93</f>
        <v/>
      </c>
      <c r="U93" s="9">
        <f>(N93-K93)/N93-$B$4</f>
        <v/>
      </c>
      <c r="V93" s="7" t="inlineStr">
        <is>
          <t>已匹配</t>
        </is>
      </c>
    </row>
    <row r="94">
      <c r="A94" s="7" t="inlineStr">
        <is>
          <t>SHOP-00093</t>
        </is>
      </c>
      <c r="B94" s="7" t="inlineStr">
        <is>
          <t>宠物梳子套装 V2</t>
        </is>
      </c>
      <c r="C94" s="7" t="inlineStr">
        <is>
          <t>PET-宠物-0093</t>
        </is>
      </c>
      <c r="D94" s="7" t="inlineStr">
        <is>
          <t>宠物喂食</t>
        </is>
      </c>
      <c r="E94" s="7" t="n">
        <v>3</v>
      </c>
      <c r="F94" s="7" t="inlineStr">
        <is>
          <t>有货</t>
        </is>
      </c>
      <c r="G94" s="8" t="n">
        <v>37.64</v>
      </c>
      <c r="H94" s="8" t="n">
        <v>15</v>
      </c>
      <c r="I94" s="8" t="n">
        <v>0</v>
      </c>
      <c r="J94" s="8" t="n">
        <v>0</v>
      </c>
      <c r="K94" s="8">
        <f>G94+H94+I94+J94</f>
        <v/>
      </c>
      <c r="L94" s="9">
        <f>$B$3</f>
        <v/>
      </c>
      <c r="M94" s="9">
        <f>$B$4</f>
        <v/>
      </c>
      <c r="N94" s="8">
        <f>K94/(1-(L94+M94))</f>
        <v/>
      </c>
      <c r="O94" s="8">
        <f>ROUND(K94/(1-(L94+M94)),2)</f>
        <v/>
      </c>
      <c r="P94" s="8" t="n">
        <v>89.65000000000001</v>
      </c>
      <c r="Q94" s="7">
        <f>IF(N94&lt;P94,"低于亚马逊",IF(N94&lt;P94*1.1,"接近亚马逊","高于亚马逊"))</f>
        <v/>
      </c>
      <c r="R94" s="8">
        <f>ROUND(N94*$B$12,2)</f>
        <v/>
      </c>
      <c r="S94" s="9">
        <f>(O94-N94)/O94</f>
        <v/>
      </c>
      <c r="T94" s="9">
        <f>(N94-K94)/N94</f>
        <v/>
      </c>
      <c r="U94" s="9">
        <f>(N94-K94)/N94-$B$4</f>
        <v/>
      </c>
      <c r="V94" s="7" t="inlineStr">
        <is>
          <t>已匹配</t>
        </is>
      </c>
    </row>
    <row r="95">
      <c r="A95" s="7" t="inlineStr">
        <is>
          <t>SHOP-00094</t>
        </is>
      </c>
      <c r="B95" s="7" t="inlineStr">
        <is>
          <t>宠物剪刀套装 V2</t>
        </is>
      </c>
      <c r="C95" s="7" t="inlineStr">
        <is>
          <t>PET-宠物-0094</t>
        </is>
      </c>
      <c r="D95" s="7" t="inlineStr">
        <is>
          <t>宠物出行</t>
        </is>
      </c>
      <c r="E95" s="7" t="n">
        <v>1</v>
      </c>
      <c r="F95" s="7" t="inlineStr">
        <is>
          <t>有货</t>
        </is>
      </c>
      <c r="G95" s="8" t="n">
        <v>15.85</v>
      </c>
      <c r="H95" s="8" t="n">
        <v>8.970000000000001</v>
      </c>
      <c r="I95" s="8" t="n">
        <v>0</v>
      </c>
      <c r="J95" s="8" t="n">
        <v>0</v>
      </c>
      <c r="K95" s="8">
        <f>G95+H95+I95+J95</f>
        <v/>
      </c>
      <c r="L95" s="9">
        <f>$B$3</f>
        <v/>
      </c>
      <c r="M95" s="9">
        <f>$B$4</f>
        <v/>
      </c>
      <c r="N95" s="8">
        <f>K95/(1-(L95+M95))</f>
        <v/>
      </c>
      <c r="O95" s="8">
        <f>ROUND(K95/(1-(L95+M95)),2)</f>
        <v/>
      </c>
      <c r="P95" s="8" t="n">
        <v>44.7</v>
      </c>
      <c r="Q95" s="7">
        <f>IF(N95&lt;P95,"低于亚马逊",IF(N95&lt;P95*1.1,"接近亚马逊","高于亚马逊"))</f>
        <v/>
      </c>
      <c r="R95" s="8">
        <f>ROUND(N95*$B$12,2)</f>
        <v/>
      </c>
      <c r="S95" s="9">
        <f>(O95-N95)/O95</f>
        <v/>
      </c>
      <c r="T95" s="9">
        <f>(N95-K95)/N95</f>
        <v/>
      </c>
      <c r="U95" s="9">
        <f>(N95-K95)/N95-$B$4</f>
        <v/>
      </c>
      <c r="V95" s="7" t="inlineStr">
        <is>
          <t>已匹配</t>
        </is>
      </c>
    </row>
    <row r="96">
      <c r="A96" s="7" t="inlineStr">
        <is>
          <t>SHOP-00095</t>
        </is>
      </c>
      <c r="B96" s="7" t="inlineStr">
        <is>
          <t>宠物吹风机 V2</t>
        </is>
      </c>
      <c r="C96" s="7" t="inlineStr">
        <is>
          <t>PET-宠物-0095</t>
        </is>
      </c>
      <c r="D96" s="7" t="inlineStr">
        <is>
          <t>宠物清洁</t>
        </is>
      </c>
      <c r="E96" s="7" t="n">
        <v>3</v>
      </c>
      <c r="F96" s="7" t="inlineStr">
        <is>
          <t>缺货</t>
        </is>
      </c>
      <c r="G96" s="8" t="n">
        <v>42.39</v>
      </c>
      <c r="H96" s="8" t="n">
        <v>15</v>
      </c>
      <c r="I96" s="8" t="n">
        <v>0</v>
      </c>
      <c r="J96" s="8" t="n">
        <v>0</v>
      </c>
      <c r="K96" s="8">
        <f>G96+H96+I96+J96</f>
        <v/>
      </c>
      <c r="L96" s="9">
        <f>$B$3</f>
        <v/>
      </c>
      <c r="M96" s="9">
        <f>$B$4</f>
        <v/>
      </c>
      <c r="N96" s="8">
        <f>K96/(1-(L96+M96))</f>
        <v/>
      </c>
      <c r="O96" s="8">
        <f>ROUND(K96/(1-(L96+M96)),2)</f>
        <v/>
      </c>
      <c r="P96" s="8" t="n">
        <v>110.92</v>
      </c>
      <c r="Q96" s="7">
        <f>IF(N96&lt;P96,"低于亚马逊",IF(N96&lt;P96*1.1,"接近亚马逊","高于亚马逊"))</f>
        <v/>
      </c>
      <c r="R96" s="8">
        <f>ROUND(N96*$B$12,2)</f>
        <v/>
      </c>
      <c r="S96" s="9">
        <f>(O96-N96)/O96</f>
        <v/>
      </c>
      <c r="T96" s="9">
        <f>(N96-K96)/N96</f>
        <v/>
      </c>
      <c r="U96" s="9">
        <f>(N96-K96)/N96-$B$4</f>
        <v/>
      </c>
      <c r="V96" s="7" t="inlineStr">
        <is>
          <t>已匹配</t>
        </is>
      </c>
    </row>
    <row r="97">
      <c r="A97" s="7" t="inlineStr">
        <is>
          <t>SHOP-00096</t>
        </is>
      </c>
      <c r="B97" s="7" t="inlineStr">
        <is>
          <t>宠物烘干箱 V2</t>
        </is>
      </c>
      <c r="C97" s="7" t="inlineStr">
        <is>
          <t>PET-宠物-0096</t>
        </is>
      </c>
      <c r="D97" s="7" t="inlineStr">
        <is>
          <t>宠物服饰</t>
        </is>
      </c>
      <c r="E97" s="7" t="n">
        <v>4</v>
      </c>
      <c r="F97" s="7" t="inlineStr">
        <is>
          <t>有货</t>
        </is>
      </c>
      <c r="G97" s="8" t="n">
        <v>30.37</v>
      </c>
      <c r="H97" s="8" t="n">
        <v>15</v>
      </c>
      <c r="I97" s="8" t="n">
        <v>0</v>
      </c>
      <c r="J97" s="8" t="n">
        <v>0</v>
      </c>
      <c r="K97" s="8">
        <f>G97+H97+I97+J97</f>
        <v/>
      </c>
      <c r="L97" s="9">
        <f>$B$3</f>
        <v/>
      </c>
      <c r="M97" s="9">
        <f>$B$4</f>
        <v/>
      </c>
      <c r="N97" s="8">
        <f>K97/(1-(L97+M97))</f>
        <v/>
      </c>
      <c r="O97" s="8">
        <f>ROUND(K97/(1-(L97+M97)),2)</f>
        <v/>
      </c>
      <c r="P97" s="8" t="n">
        <v>94.06999999999999</v>
      </c>
      <c r="Q97" s="7">
        <f>IF(N97&lt;P97,"低于亚马逊",IF(N97&lt;P97*1.1,"接近亚马逊","高于亚马逊"))</f>
        <v/>
      </c>
      <c r="R97" s="8">
        <f>ROUND(N97*$B$12,2)</f>
        <v/>
      </c>
      <c r="S97" s="9">
        <f>(O97-N97)/O97</f>
        <v/>
      </c>
      <c r="T97" s="9">
        <f>(N97-K97)/N97</f>
        <v/>
      </c>
      <c r="U97" s="9">
        <f>(N97-K97)/N97-$B$4</f>
        <v/>
      </c>
      <c r="V97" s="7" t="inlineStr">
        <is>
          <t>已匹配</t>
        </is>
      </c>
    </row>
    <row r="98">
      <c r="A98" s="7" t="inlineStr">
        <is>
          <t>SHOP-00097</t>
        </is>
      </c>
      <c r="B98" s="7" t="inlineStr">
        <is>
          <t>超声波宠物除毛刷 V3</t>
        </is>
      </c>
      <c r="C98" s="7" t="inlineStr">
        <is>
          <t>PET-宠物-0097</t>
        </is>
      </c>
      <c r="D98" s="7" t="inlineStr">
        <is>
          <t>宠物美容</t>
        </is>
      </c>
      <c r="E98" s="7" t="n">
        <v>2</v>
      </c>
      <c r="F98" s="7" t="inlineStr">
        <is>
          <t>有货</t>
        </is>
      </c>
      <c r="G98" s="8" t="n">
        <v>10.26</v>
      </c>
      <c r="H98" s="8" t="n">
        <v>8.970000000000001</v>
      </c>
      <c r="I98" s="8" t="n">
        <v>0</v>
      </c>
      <c r="J98" s="8" t="n">
        <v>0</v>
      </c>
      <c r="K98" s="8">
        <f>G98+H98+I98+J98</f>
        <v/>
      </c>
      <c r="L98" s="9">
        <f>$B$3</f>
        <v/>
      </c>
      <c r="M98" s="9">
        <f>$B$4</f>
        <v/>
      </c>
      <c r="N98" s="8">
        <f>K98/(1-(L98+M98))</f>
        <v/>
      </c>
      <c r="O98" s="8">
        <f>ROUND(K98/(1-(L98+M98)),2)</f>
        <v/>
      </c>
      <c r="P98" s="8" t="n">
        <v>28.4</v>
      </c>
      <c r="Q98" s="7">
        <f>IF(N98&lt;P98,"低于亚马逊",IF(N98&lt;P98*1.1,"接近亚马逊","高于亚马逊"))</f>
        <v/>
      </c>
      <c r="R98" s="8">
        <f>ROUND(N98*$B$12,2)</f>
        <v/>
      </c>
      <c r="S98" s="9">
        <f>(O98-N98)/O98</f>
        <v/>
      </c>
      <c r="T98" s="9">
        <f>(N98-K98)/N98</f>
        <v/>
      </c>
      <c r="U98" s="9">
        <f>(N98-K98)/N98-$B$4</f>
        <v/>
      </c>
      <c r="V98" s="7" t="inlineStr">
        <is>
          <t>已匹配</t>
        </is>
      </c>
    </row>
    <row r="99">
      <c r="A99" s="7" t="inlineStr">
        <is>
          <t>SHOP-00098</t>
        </is>
      </c>
      <c r="B99" s="7" t="inlineStr">
        <is>
          <t>智能宠物饮水机 V3</t>
        </is>
      </c>
      <c r="C99" s="7" t="inlineStr">
        <is>
          <t>PET-宠物-0098</t>
        </is>
      </c>
      <c r="D99" s="7" t="inlineStr">
        <is>
          <t>宠物玩具</t>
        </is>
      </c>
      <c r="E99" s="7" t="n">
        <v>3</v>
      </c>
      <c r="F99" s="7" t="inlineStr">
        <is>
          <t>缺货</t>
        </is>
      </c>
      <c r="G99" s="8" t="n">
        <v>21.85</v>
      </c>
      <c r="H99" s="8" t="n">
        <v>8.970000000000001</v>
      </c>
      <c r="I99" s="8" t="n">
        <v>0</v>
      </c>
      <c r="J99" s="8" t="n">
        <v>0</v>
      </c>
      <c r="K99" s="8">
        <f>G99+H99+I99+J99</f>
        <v/>
      </c>
      <c r="L99" s="9">
        <f>$B$3</f>
        <v/>
      </c>
      <c r="M99" s="9">
        <f>$B$4</f>
        <v/>
      </c>
      <c r="N99" s="8">
        <f>K99/(1-(L99+M99))</f>
        <v/>
      </c>
      <c r="O99" s="8">
        <f>ROUND(K99/(1-(L99+M99)),2)</f>
        <v/>
      </c>
      <c r="P99" s="8" t="n">
        <v>62.22</v>
      </c>
      <c r="Q99" s="7">
        <f>IF(N99&lt;P99,"低于亚马逊",IF(N99&lt;P99*1.1,"接近亚马逊","高于亚马逊"))</f>
        <v/>
      </c>
      <c r="R99" s="8">
        <f>ROUND(N99*$B$12,2)</f>
        <v/>
      </c>
      <c r="S99" s="9">
        <f>(O99-N99)/O99</f>
        <v/>
      </c>
      <c r="T99" s="9">
        <f>(N99-K99)/N99</f>
        <v/>
      </c>
      <c r="U99" s="9">
        <f>(N99-K99)/N99-$B$4</f>
        <v/>
      </c>
      <c r="V99" s="7" t="inlineStr">
        <is>
          <t>已匹配</t>
        </is>
      </c>
    </row>
    <row r="100">
      <c r="A100" s="7" t="inlineStr">
        <is>
          <t>SHOP-00099</t>
        </is>
      </c>
      <c r="B100" s="7" t="inlineStr">
        <is>
          <t>宠物便携折叠笼 V3</t>
        </is>
      </c>
      <c r="C100" s="7" t="inlineStr">
        <is>
          <t>PET-宠物-0099</t>
        </is>
      </c>
      <c r="D100" s="7" t="inlineStr">
        <is>
          <t>宠物喂食</t>
        </is>
      </c>
      <c r="E100" s="7" t="n">
        <v>4</v>
      </c>
      <c r="F100" s="7" t="inlineStr">
        <is>
          <t>有货</t>
        </is>
      </c>
      <c r="G100" s="8" t="n">
        <v>13.54</v>
      </c>
      <c r="H100" s="8" t="n">
        <v>8.970000000000001</v>
      </c>
      <c r="I100" s="8" t="n">
        <v>0</v>
      </c>
      <c r="J100" s="8" t="n">
        <v>0</v>
      </c>
      <c r="K100" s="8">
        <f>G100+H100+I100+J100</f>
        <v/>
      </c>
      <c r="L100" s="9">
        <f>$B$3</f>
        <v/>
      </c>
      <c r="M100" s="9">
        <f>$B$4</f>
        <v/>
      </c>
      <c r="N100" s="8">
        <f>K100/(1-(L100+M100))</f>
        <v/>
      </c>
      <c r="O100" s="8">
        <f>ROUND(K100/(1-(L100+M100)),2)</f>
        <v/>
      </c>
      <c r="P100" s="8" t="n">
        <v>31.01</v>
      </c>
      <c r="Q100" s="7">
        <f>IF(N100&lt;P100,"低于亚马逊",IF(N100&lt;P100*1.1,"接近亚马逊","高于亚马逊"))</f>
        <v/>
      </c>
      <c r="R100" s="8">
        <f>ROUND(N100*$B$12,2)</f>
        <v/>
      </c>
      <c r="S100" s="9">
        <f>(O100-N100)/O100</f>
        <v/>
      </c>
      <c r="T100" s="9">
        <f>(N100-K100)/N100</f>
        <v/>
      </c>
      <c r="U100" s="9">
        <f>(N100-K100)/N100-$B$4</f>
        <v/>
      </c>
      <c r="V100" s="7" t="inlineStr">
        <is>
          <t>已匹配</t>
        </is>
      </c>
    </row>
    <row r="101">
      <c r="A101" s="7" t="inlineStr">
        <is>
          <t>SHOP-00100</t>
        </is>
      </c>
      <c r="B101" s="7" t="inlineStr">
        <is>
          <t>宠物多功能护理包 V3</t>
        </is>
      </c>
      <c r="C101" s="7" t="inlineStr">
        <is>
          <t>PET-宠物-0100</t>
        </is>
      </c>
      <c r="D101" s="7" t="inlineStr">
        <is>
          <t>宠物出行</t>
        </is>
      </c>
      <c r="E101" s="7" t="n">
        <v>3</v>
      </c>
      <c r="F101" s="7" t="inlineStr">
        <is>
          <t>有货</t>
        </is>
      </c>
      <c r="G101" s="8" t="n">
        <v>28.21</v>
      </c>
      <c r="H101" s="8" t="n">
        <v>15</v>
      </c>
      <c r="I101" s="8" t="n">
        <v>0</v>
      </c>
      <c r="J101" s="8" t="n">
        <v>0</v>
      </c>
      <c r="K101" s="8">
        <f>G101+H101+I101+J101</f>
        <v/>
      </c>
      <c r="L101" s="9">
        <f>$B$3</f>
        <v/>
      </c>
      <c r="M101" s="9">
        <f>$B$4</f>
        <v/>
      </c>
      <c r="N101" s="8">
        <f>K101/(1-(L101+M101))</f>
        <v/>
      </c>
      <c r="O101" s="8">
        <f>ROUND(K101/(1-(L101+M101)),2)</f>
        <v/>
      </c>
      <c r="P101" s="8" t="n">
        <v>87.59999999999999</v>
      </c>
      <c r="Q101" s="7">
        <f>IF(N101&lt;P101,"低于亚马逊",IF(N101&lt;P101*1.1,"接近亚马逊","高于亚马逊"))</f>
        <v/>
      </c>
      <c r="R101" s="8">
        <f>ROUND(N101*$B$12,2)</f>
        <v/>
      </c>
      <c r="S101" s="9">
        <f>(O101-N101)/O101</f>
        <v/>
      </c>
      <c r="T101" s="9">
        <f>(N101-K101)/N101</f>
        <v/>
      </c>
      <c r="U101" s="9">
        <f>(N101-K101)/N101-$B$4</f>
        <v/>
      </c>
      <c r="V101" s="7" t="inlineStr">
        <is>
          <t>已匹配</t>
        </is>
      </c>
    </row>
    <row r="102">
      <c r="A102" s="7" t="inlineStr">
        <is>
          <t>SHOP-00101</t>
        </is>
      </c>
      <c r="B102" s="7" t="inlineStr">
        <is>
          <t>宠物GPS定位项圈 V3</t>
        </is>
      </c>
      <c r="C102" s="7" t="inlineStr">
        <is>
          <t>PET-宠物-0101</t>
        </is>
      </c>
      <c r="D102" s="7" t="inlineStr">
        <is>
          <t>宠物清洁</t>
        </is>
      </c>
      <c r="E102" s="7" t="n">
        <v>3</v>
      </c>
      <c r="F102" s="7" t="inlineStr">
        <is>
          <t>库存紧张</t>
        </is>
      </c>
      <c r="G102" s="8" t="n">
        <v>23.82</v>
      </c>
      <c r="H102" s="8" t="n">
        <v>8.970000000000001</v>
      </c>
      <c r="I102" s="8" t="n">
        <v>0</v>
      </c>
      <c r="J102" s="8" t="n">
        <v>0</v>
      </c>
      <c r="K102" s="8">
        <f>G102+H102+I102+J102</f>
        <v/>
      </c>
      <c r="L102" s="9">
        <f>$B$3</f>
        <v/>
      </c>
      <c r="M102" s="9">
        <f>$B$4</f>
        <v/>
      </c>
      <c r="N102" s="8">
        <f>K102/(1-(L102+M102))</f>
        <v/>
      </c>
      <c r="O102" s="8">
        <f>ROUND(K102/(1-(L102+M102)),2)</f>
        <v/>
      </c>
      <c r="P102" s="8" t="n">
        <v>54.03</v>
      </c>
      <c r="Q102" s="7">
        <f>IF(N102&lt;P102,"低于亚马逊",IF(N102&lt;P102*1.1,"接近亚马逊","高于亚马逊"))</f>
        <v/>
      </c>
      <c r="R102" s="8">
        <f>ROUND(N102*$B$12,2)</f>
        <v/>
      </c>
      <c r="S102" s="9">
        <f>(O102-N102)/O102</f>
        <v/>
      </c>
      <c r="T102" s="9">
        <f>(N102-K102)/N102</f>
        <v/>
      </c>
      <c r="U102" s="9">
        <f>(N102-K102)/N102-$B$4</f>
        <v/>
      </c>
      <c r="V102" s="7" t="inlineStr">
        <is>
          <t>已匹配</t>
        </is>
      </c>
    </row>
    <row r="103">
      <c r="A103" s="7" t="inlineStr">
        <is>
          <t>SHOP-00102</t>
        </is>
      </c>
      <c r="B103" s="7" t="inlineStr">
        <is>
          <t>宠物电动剃毛器 V3</t>
        </is>
      </c>
      <c r="C103" s="7" t="inlineStr">
        <is>
          <t>PET-宠物-0102</t>
        </is>
      </c>
      <c r="D103" s="7" t="inlineStr">
        <is>
          <t>宠物服饰</t>
        </is>
      </c>
      <c r="E103" s="7" t="n">
        <v>4</v>
      </c>
      <c r="F103" s="7" t="inlineStr">
        <is>
          <t>有货</t>
        </is>
      </c>
      <c r="G103" s="8" t="n">
        <v>17.57</v>
      </c>
      <c r="H103" s="8" t="n">
        <v>8.970000000000001</v>
      </c>
      <c r="I103" s="8" t="n">
        <v>0</v>
      </c>
      <c r="J103" s="8" t="n">
        <v>0</v>
      </c>
      <c r="K103" s="8">
        <f>G103+H103+I103+J103</f>
        <v/>
      </c>
      <c r="L103" s="9">
        <f>$B$3</f>
        <v/>
      </c>
      <c r="M103" s="9">
        <f>$B$4</f>
        <v/>
      </c>
      <c r="N103" s="8">
        <f>K103/(1-(L103+M103))</f>
        <v/>
      </c>
      <c r="O103" s="8">
        <f>ROUND(K103/(1-(L103+M103)),2)</f>
        <v/>
      </c>
      <c r="P103" s="8" t="n">
        <v>42.3</v>
      </c>
      <c r="Q103" s="7">
        <f>IF(N103&lt;P103,"低于亚马逊",IF(N103&lt;P103*1.1,"接近亚马逊","高于亚马逊"))</f>
        <v/>
      </c>
      <c r="R103" s="8">
        <f>ROUND(N103*$B$12,2)</f>
        <v/>
      </c>
      <c r="S103" s="9">
        <f>(O103-N103)/O103</f>
        <v/>
      </c>
      <c r="T103" s="9">
        <f>(N103-K103)/N103</f>
        <v/>
      </c>
      <c r="U103" s="9">
        <f>(N103-K103)/N103-$B$4</f>
        <v/>
      </c>
      <c r="V103" s="7" t="inlineStr">
        <is>
          <t>已匹配</t>
        </is>
      </c>
    </row>
    <row r="104">
      <c r="A104" s="7" t="inlineStr">
        <is>
          <t>SHOP-00103</t>
        </is>
      </c>
      <c r="B104" s="7" t="inlineStr">
        <is>
          <t>宠物自动喂食器 V3</t>
        </is>
      </c>
      <c r="C104" s="7" t="inlineStr">
        <is>
          <t>PET-宠物-0103</t>
        </is>
      </c>
      <c r="D104" s="7" t="inlineStr">
        <is>
          <t>宠物美容</t>
        </is>
      </c>
      <c r="E104" s="7" t="n">
        <v>1</v>
      </c>
      <c r="F104" s="7" t="inlineStr">
        <is>
          <t>库存紧张</t>
        </is>
      </c>
      <c r="G104" s="8" t="n">
        <v>32.95</v>
      </c>
      <c r="H104" s="8" t="n">
        <v>15</v>
      </c>
      <c r="I104" s="8" t="n">
        <v>0</v>
      </c>
      <c r="J104" s="8" t="n">
        <v>0</v>
      </c>
      <c r="K104" s="8">
        <f>G104+H104+I104+J104</f>
        <v/>
      </c>
      <c r="L104" s="9">
        <f>$B$3</f>
        <v/>
      </c>
      <c r="M104" s="9">
        <f>$B$4</f>
        <v/>
      </c>
      <c r="N104" s="8">
        <f>K104/(1-(L104+M104))</f>
        <v/>
      </c>
      <c r="O104" s="8">
        <f>ROUND(K104/(1-(L104+M104)),2)</f>
        <v/>
      </c>
      <c r="P104" s="8" t="n">
        <v>82.36</v>
      </c>
      <c r="Q104" s="7">
        <f>IF(N104&lt;P104,"低于亚马逊",IF(N104&lt;P104*1.1,"接近亚马逊","高于亚马逊"))</f>
        <v/>
      </c>
      <c r="R104" s="8">
        <f>ROUND(N104*$B$12,2)</f>
        <v/>
      </c>
      <c r="S104" s="9">
        <f>(O104-N104)/O104</f>
        <v/>
      </c>
      <c r="T104" s="9">
        <f>(N104-K104)/N104</f>
        <v/>
      </c>
      <c r="U104" s="9">
        <f>(N104-K104)/N104-$B$4</f>
        <v/>
      </c>
      <c r="V104" s="7" t="inlineStr">
        <is>
          <t>已匹配</t>
        </is>
      </c>
    </row>
    <row r="105">
      <c r="A105" s="7" t="inlineStr">
        <is>
          <t>SHOP-00104</t>
        </is>
      </c>
      <c r="B105" s="7" t="inlineStr">
        <is>
          <t>宠物外出牵引绳 V3</t>
        </is>
      </c>
      <c r="C105" s="7" t="inlineStr">
        <is>
          <t>PET-宠物-0104</t>
        </is>
      </c>
      <c r="D105" s="7" t="inlineStr">
        <is>
          <t>宠物玩具</t>
        </is>
      </c>
      <c r="E105" s="7" t="n">
        <v>4</v>
      </c>
      <c r="F105" s="7" t="inlineStr">
        <is>
          <t>有货</t>
        </is>
      </c>
      <c r="G105" s="8" t="n">
        <v>27.86</v>
      </c>
      <c r="H105" s="8" t="n">
        <v>15</v>
      </c>
      <c r="I105" s="8" t="n">
        <v>0</v>
      </c>
      <c r="J105" s="8" t="n">
        <v>0</v>
      </c>
      <c r="K105" s="8">
        <f>G105+H105+I105+J105</f>
        <v/>
      </c>
      <c r="L105" s="9">
        <f>$B$3</f>
        <v/>
      </c>
      <c r="M105" s="9">
        <f>$B$4</f>
        <v/>
      </c>
      <c r="N105" s="8">
        <f>K105/(1-(L105+M105))</f>
        <v/>
      </c>
      <c r="O105" s="8">
        <f>ROUND(K105/(1-(L105+M105)),2)</f>
        <v/>
      </c>
      <c r="P105" s="8" t="n">
        <v>91.93000000000001</v>
      </c>
      <c r="Q105" s="7">
        <f>IF(N105&lt;P105,"低于亚马逊",IF(N105&lt;P105*1.1,"接近亚马逊","高于亚马逊"))</f>
        <v/>
      </c>
      <c r="R105" s="8">
        <f>ROUND(N105*$B$12,2)</f>
        <v/>
      </c>
      <c r="S105" s="9">
        <f>(O105-N105)/O105</f>
        <v/>
      </c>
      <c r="T105" s="9">
        <f>(N105-K105)/N105</f>
        <v/>
      </c>
      <c r="U105" s="9">
        <f>(N105-K105)/N105-$B$4</f>
        <v/>
      </c>
      <c r="V105" s="7" t="inlineStr">
        <is>
          <t>已匹配</t>
        </is>
      </c>
    </row>
    <row r="106">
      <c r="A106" s="7" t="inlineStr">
        <is>
          <t>SHOP-00105</t>
        </is>
      </c>
      <c r="B106" s="7" t="inlineStr">
        <is>
          <t>宠物洗澡沐浴露套装 V3</t>
        </is>
      </c>
      <c r="C106" s="7" t="inlineStr">
        <is>
          <t>PET-宠物-0105</t>
        </is>
      </c>
      <c r="D106" s="7" t="inlineStr">
        <is>
          <t>宠物喂食</t>
        </is>
      </c>
      <c r="E106" s="7" t="n">
        <v>3</v>
      </c>
      <c r="F106" s="7" t="inlineStr">
        <is>
          <t>有货</t>
        </is>
      </c>
      <c r="G106" s="8" t="n">
        <v>43.54</v>
      </c>
      <c r="H106" s="8" t="n">
        <v>15</v>
      </c>
      <c r="I106" s="8" t="n">
        <v>0</v>
      </c>
      <c r="J106" s="8" t="n">
        <v>0</v>
      </c>
      <c r="K106" s="8">
        <f>G106+H106+I106+J106</f>
        <v/>
      </c>
      <c r="L106" s="9">
        <f>$B$3</f>
        <v/>
      </c>
      <c r="M106" s="9">
        <f>$B$4</f>
        <v/>
      </c>
      <c r="N106" s="8">
        <f>K106/(1-(L106+M106))</f>
        <v/>
      </c>
      <c r="O106" s="8">
        <f>ROUND(K106/(1-(L106+M106)),2)</f>
        <v/>
      </c>
      <c r="P106" s="8" t="n">
        <v>106.31</v>
      </c>
      <c r="Q106" s="7">
        <f>IF(N106&lt;P106,"低于亚马逊",IF(N106&lt;P106*1.1,"接近亚马逊","高于亚马逊"))</f>
        <v/>
      </c>
      <c r="R106" s="8">
        <f>ROUND(N106*$B$12,2)</f>
        <v/>
      </c>
      <c r="S106" s="9">
        <f>(O106-N106)/O106</f>
        <v/>
      </c>
      <c r="T106" s="9">
        <f>(N106-K106)/N106</f>
        <v/>
      </c>
      <c r="U106" s="9">
        <f>(N106-K106)/N106-$B$4</f>
        <v/>
      </c>
      <c r="V106" s="7" t="inlineStr">
        <is>
          <t>已匹配</t>
        </is>
      </c>
    </row>
    <row r="107">
      <c r="A107" s="7" t="inlineStr">
        <is>
          <t>SHOP-00106</t>
        </is>
      </c>
      <c r="B107" s="7" t="inlineStr">
        <is>
          <t>宠物保暖舒适窝 V3</t>
        </is>
      </c>
      <c r="C107" s="7" t="inlineStr">
        <is>
          <t>PET-宠物-0106</t>
        </is>
      </c>
      <c r="D107" s="7" t="inlineStr">
        <is>
          <t>宠物出行</t>
        </is>
      </c>
      <c r="E107" s="7" t="n">
        <v>1</v>
      </c>
      <c r="F107" s="7" t="inlineStr">
        <is>
          <t>有货</t>
        </is>
      </c>
      <c r="G107" s="8" t="n">
        <v>35.41</v>
      </c>
      <c r="H107" s="8" t="n">
        <v>15</v>
      </c>
      <c r="I107" s="8" t="n">
        <v>0</v>
      </c>
      <c r="J107" s="8" t="n">
        <v>0</v>
      </c>
      <c r="K107" s="8">
        <f>G107+H107+I107+J107</f>
        <v/>
      </c>
      <c r="L107" s="9">
        <f>$B$3</f>
        <v/>
      </c>
      <c r="M107" s="9">
        <f>$B$4</f>
        <v/>
      </c>
      <c r="N107" s="8">
        <f>K107/(1-(L107+M107))</f>
        <v/>
      </c>
      <c r="O107" s="8">
        <f>ROUND(K107/(1-(L107+M107)),2)</f>
        <v/>
      </c>
      <c r="P107" s="8" t="n">
        <v>114.93</v>
      </c>
      <c r="Q107" s="7">
        <f>IF(N107&lt;P107,"低于亚马逊",IF(N107&lt;P107*1.1,"接近亚马逊","高于亚马逊"))</f>
        <v/>
      </c>
      <c r="R107" s="8">
        <f>ROUND(N107*$B$12,2)</f>
        <v/>
      </c>
      <c r="S107" s="9">
        <f>(O107-N107)/O107</f>
        <v/>
      </c>
      <c r="T107" s="9">
        <f>(N107-K107)/N107</f>
        <v/>
      </c>
      <c r="U107" s="9">
        <f>(N107-K107)/N107-$B$4</f>
        <v/>
      </c>
      <c r="V107" s="7" t="inlineStr">
        <is>
          <t>已匹配</t>
        </is>
      </c>
    </row>
    <row r="108">
      <c r="A108" s="7" t="inlineStr">
        <is>
          <t>SHOP-00107</t>
        </is>
      </c>
      <c r="B108" s="7" t="inlineStr">
        <is>
          <t>宠物训练响片 V3</t>
        </is>
      </c>
      <c r="C108" s="7" t="inlineStr">
        <is>
          <t>PET-宠物-0107</t>
        </is>
      </c>
      <c r="D108" s="7" t="inlineStr">
        <is>
          <t>宠物清洁</t>
        </is>
      </c>
      <c r="E108" s="7" t="n">
        <v>4</v>
      </c>
      <c r="F108" s="7" t="inlineStr">
        <is>
          <t>有货</t>
        </is>
      </c>
      <c r="G108" s="8" t="n">
        <v>17</v>
      </c>
      <c r="H108" s="8" t="n">
        <v>8.970000000000001</v>
      </c>
      <c r="I108" s="8" t="n">
        <v>0</v>
      </c>
      <c r="J108" s="8" t="n">
        <v>0</v>
      </c>
      <c r="K108" s="8">
        <f>G108+H108+I108+J108</f>
        <v/>
      </c>
      <c r="L108" s="9">
        <f>$B$3</f>
        <v/>
      </c>
      <c r="M108" s="9">
        <f>$B$4</f>
        <v/>
      </c>
      <c r="N108" s="8">
        <f>K108/(1-(L108+M108))</f>
        <v/>
      </c>
      <c r="O108" s="8">
        <f>ROUND(K108/(1-(L108+M108)),2)</f>
        <v/>
      </c>
      <c r="P108" s="8" t="n">
        <v>51</v>
      </c>
      <c r="Q108" s="7">
        <f>IF(N108&lt;P108,"低于亚马逊",IF(N108&lt;P108*1.1,"接近亚马逊","高于亚马逊"))</f>
        <v/>
      </c>
      <c r="R108" s="8">
        <f>ROUND(N108*$B$12,2)</f>
        <v/>
      </c>
      <c r="S108" s="9">
        <f>(O108-N108)/O108</f>
        <v/>
      </c>
      <c r="T108" s="9">
        <f>(N108-K108)/N108</f>
        <v/>
      </c>
      <c r="U108" s="9">
        <f>(N108-K108)/N108-$B$4</f>
        <v/>
      </c>
      <c r="V108" s="7" t="inlineStr">
        <is>
          <t>已匹配</t>
        </is>
      </c>
    </row>
    <row r="109">
      <c r="A109" s="7" t="inlineStr">
        <is>
          <t>SHOP-00108</t>
        </is>
      </c>
      <c r="B109" s="7" t="inlineStr">
        <is>
          <t>宠物拾便器 V3</t>
        </is>
      </c>
      <c r="C109" s="7" t="inlineStr">
        <is>
          <t>PET-宠物-0108</t>
        </is>
      </c>
      <c r="D109" s="7" t="inlineStr">
        <is>
          <t>宠物服饰</t>
        </is>
      </c>
      <c r="E109" s="7" t="n">
        <v>4</v>
      </c>
      <c r="F109" s="7" t="inlineStr">
        <is>
          <t>有货</t>
        </is>
      </c>
      <c r="G109" s="8" t="n">
        <v>26.49</v>
      </c>
      <c r="H109" s="8" t="n">
        <v>15</v>
      </c>
      <c r="I109" s="8" t="n">
        <v>0</v>
      </c>
      <c r="J109" s="8" t="n">
        <v>0</v>
      </c>
      <c r="K109" s="8">
        <f>G109+H109+I109+J109</f>
        <v/>
      </c>
      <c r="L109" s="9">
        <f>$B$3</f>
        <v/>
      </c>
      <c r="M109" s="9">
        <f>$B$4</f>
        <v/>
      </c>
      <c r="N109" s="8">
        <f>K109/(1-(L109+M109))</f>
        <v/>
      </c>
      <c r="O109" s="8">
        <f>ROUND(K109/(1-(L109+M109)),2)</f>
        <v/>
      </c>
      <c r="P109" s="8" t="n">
        <v>89.63</v>
      </c>
      <c r="Q109" s="7">
        <f>IF(N109&lt;P109,"低于亚马逊",IF(N109&lt;P109*1.1,"接近亚马逊","高于亚马逊"))</f>
        <v/>
      </c>
      <c r="R109" s="8">
        <f>ROUND(N109*$B$12,2)</f>
        <v/>
      </c>
      <c r="S109" s="9">
        <f>(O109-N109)/O109</f>
        <v/>
      </c>
      <c r="T109" s="9">
        <f>(N109-K109)/N109</f>
        <v/>
      </c>
      <c r="U109" s="9">
        <f>(N109-K109)/N109-$B$4</f>
        <v/>
      </c>
      <c r="V109" s="7" t="inlineStr">
        <is>
          <t>已匹配</t>
        </is>
      </c>
    </row>
    <row r="110">
      <c r="A110" s="7" t="inlineStr">
        <is>
          <t>SHOP-00109</t>
        </is>
      </c>
      <c r="B110" s="7" t="inlineStr">
        <is>
          <t>宠物冰垫凉席 V3</t>
        </is>
      </c>
      <c r="C110" s="7" t="inlineStr">
        <is>
          <t>PET-宠物-0109</t>
        </is>
      </c>
      <c r="D110" s="7" t="inlineStr">
        <is>
          <t>宠物美容</t>
        </is>
      </c>
      <c r="E110" s="7" t="n">
        <v>1</v>
      </c>
      <c r="F110" s="7" t="inlineStr">
        <is>
          <t>缺货</t>
        </is>
      </c>
      <c r="G110" s="8" t="n">
        <v>27.75</v>
      </c>
      <c r="H110" s="8" t="n">
        <v>15</v>
      </c>
      <c r="I110" s="8" t="n">
        <v>0</v>
      </c>
      <c r="J110" s="8" t="n">
        <v>0</v>
      </c>
      <c r="K110" s="8">
        <f>G110+H110+I110+J110</f>
        <v/>
      </c>
      <c r="L110" s="9">
        <f>$B$3</f>
        <v/>
      </c>
      <c r="M110" s="9">
        <f>$B$4</f>
        <v/>
      </c>
      <c r="N110" s="8">
        <f>K110/(1-(L110+M110))</f>
        <v/>
      </c>
      <c r="O110" s="8">
        <f>ROUND(K110/(1-(L110+M110)),2)</f>
        <v/>
      </c>
      <c r="P110" s="8" t="n">
        <v>67.09999999999999</v>
      </c>
      <c r="Q110" s="7">
        <f>IF(N110&lt;P110,"低于亚马逊",IF(N110&lt;P110*1.1,"接近亚马逊","高于亚马逊"))</f>
        <v/>
      </c>
      <c r="R110" s="8">
        <f>ROUND(N110*$B$12,2)</f>
        <v/>
      </c>
      <c r="S110" s="9">
        <f>(O110-N110)/O110</f>
        <v/>
      </c>
      <c r="T110" s="9">
        <f>(N110-K110)/N110</f>
        <v/>
      </c>
      <c r="U110" s="9">
        <f>(N110-K110)/N110-$B$4</f>
        <v/>
      </c>
      <c r="V110" s="7" t="inlineStr">
        <is>
          <t>已匹配</t>
        </is>
      </c>
    </row>
    <row r="111">
      <c r="A111" s="7" t="inlineStr">
        <is>
          <t>SHOP-00110</t>
        </is>
      </c>
      <c r="B111" s="7" t="inlineStr">
        <is>
          <t>宠物磨牙玩具套装 V3</t>
        </is>
      </c>
      <c r="C111" s="7" t="inlineStr">
        <is>
          <t>PET-宠物-0110</t>
        </is>
      </c>
      <c r="D111" s="7" t="inlineStr">
        <is>
          <t>宠物玩具</t>
        </is>
      </c>
      <c r="E111" s="7" t="n">
        <v>1</v>
      </c>
      <c r="F111" s="7" t="inlineStr">
        <is>
          <t>有货</t>
        </is>
      </c>
      <c r="G111" s="8" t="n">
        <v>21.96</v>
      </c>
      <c r="H111" s="8" t="n">
        <v>8.970000000000001</v>
      </c>
      <c r="I111" s="8" t="n">
        <v>0</v>
      </c>
      <c r="J111" s="8" t="n">
        <v>0</v>
      </c>
      <c r="K111" s="8">
        <f>G111+H111+I111+J111</f>
        <v/>
      </c>
      <c r="L111" s="9">
        <f>$B$3</f>
        <v/>
      </c>
      <c r="M111" s="9">
        <f>$B$4</f>
        <v/>
      </c>
      <c r="N111" s="8">
        <f>K111/(1-(L111+M111))</f>
        <v/>
      </c>
      <c r="O111" s="8">
        <f>ROUND(K111/(1-(L111+M111)),2)</f>
        <v/>
      </c>
      <c r="P111" s="8" t="n">
        <v>70.77</v>
      </c>
      <c r="Q111" s="7">
        <f>IF(N111&lt;P111,"低于亚马逊",IF(N111&lt;P111*1.1,"接近亚马逊","高于亚马逊"))</f>
        <v/>
      </c>
      <c r="R111" s="8">
        <f>ROUND(N111*$B$12,2)</f>
        <v/>
      </c>
      <c r="S111" s="9">
        <f>(O111-N111)/O111</f>
        <v/>
      </c>
      <c r="T111" s="9">
        <f>(N111-K111)/N111</f>
        <v/>
      </c>
      <c r="U111" s="9">
        <f>(N111-K111)/N111-$B$4</f>
        <v/>
      </c>
      <c r="V111" s="7" t="inlineStr">
        <is>
          <t>已匹配</t>
        </is>
      </c>
    </row>
    <row r="112">
      <c r="A112" s="7" t="inlineStr">
        <is>
          <t>SHOP-00111</t>
        </is>
      </c>
      <c r="B112" s="7" t="inlineStr">
        <is>
          <t>宠物航空箱 V3</t>
        </is>
      </c>
      <c r="C112" s="7" t="inlineStr">
        <is>
          <t>PET-宠物-0111</t>
        </is>
      </c>
      <c r="D112" s="7" t="inlineStr">
        <is>
          <t>宠物喂食</t>
        </is>
      </c>
      <c r="E112" s="7" t="n">
        <v>3</v>
      </c>
      <c r="F112" s="7" t="inlineStr">
        <is>
          <t>有货</t>
        </is>
      </c>
      <c r="G112" s="8" t="n">
        <v>26.11</v>
      </c>
      <c r="H112" s="8" t="n">
        <v>15</v>
      </c>
      <c r="I112" s="8" t="n">
        <v>0</v>
      </c>
      <c r="J112" s="8" t="n">
        <v>0</v>
      </c>
      <c r="K112" s="8">
        <f>G112+H112+I112+J112</f>
        <v/>
      </c>
      <c r="L112" s="9">
        <f>$B$3</f>
        <v/>
      </c>
      <c r="M112" s="9">
        <f>$B$4</f>
        <v/>
      </c>
      <c r="N112" s="8">
        <f>K112/(1-(L112+M112))</f>
        <v/>
      </c>
      <c r="O112" s="8">
        <f>ROUND(K112/(1-(L112+M112)),2)</f>
        <v/>
      </c>
      <c r="P112" s="8" t="n">
        <v>69.45</v>
      </c>
      <c r="Q112" s="7">
        <f>IF(N112&lt;P112,"低于亚马逊",IF(N112&lt;P112*1.1,"接近亚马逊","高于亚马逊"))</f>
        <v/>
      </c>
      <c r="R112" s="8">
        <f>ROUND(N112*$B$12,2)</f>
        <v/>
      </c>
      <c r="S112" s="9">
        <f>(O112-N112)/O112</f>
        <v/>
      </c>
      <c r="T112" s="9">
        <f>(N112-K112)/N112</f>
        <v/>
      </c>
      <c r="U112" s="9">
        <f>(N112-K112)/N112-$B$4</f>
        <v/>
      </c>
      <c r="V112" s="7" t="inlineStr">
        <is>
          <t>已匹配</t>
        </is>
      </c>
    </row>
    <row r="113">
      <c r="A113" s="7" t="inlineStr">
        <is>
          <t>SHOP-00112</t>
        </is>
      </c>
      <c r="B113" s="7" t="inlineStr">
        <is>
          <t>宠物外出背包 V3</t>
        </is>
      </c>
      <c r="C113" s="7" t="inlineStr">
        <is>
          <t>PET-宠物-0112</t>
        </is>
      </c>
      <c r="D113" s="7" t="inlineStr">
        <is>
          <t>宠物出行</t>
        </is>
      </c>
      <c r="E113" s="7" t="n">
        <v>1</v>
      </c>
      <c r="F113" s="7" t="inlineStr">
        <is>
          <t>库存紧张</t>
        </is>
      </c>
      <c r="G113" s="8" t="n">
        <v>18.55</v>
      </c>
      <c r="H113" s="8" t="n">
        <v>8.970000000000001</v>
      </c>
      <c r="I113" s="8" t="n">
        <v>0</v>
      </c>
      <c r="J113" s="8" t="n">
        <v>0</v>
      </c>
      <c r="K113" s="8">
        <f>G113+H113+I113+J113</f>
        <v/>
      </c>
      <c r="L113" s="9">
        <f>$B$3</f>
        <v/>
      </c>
      <c r="M113" s="9">
        <f>$B$4</f>
        <v/>
      </c>
      <c r="N113" s="8">
        <f>K113/(1-(L113+M113))</f>
        <v/>
      </c>
      <c r="O113" s="8">
        <f>ROUND(K113/(1-(L113+M113)),2)</f>
        <v/>
      </c>
      <c r="P113" s="8" t="n">
        <v>56.79</v>
      </c>
      <c r="Q113" s="7">
        <f>IF(N113&lt;P113,"低于亚马逊",IF(N113&lt;P113*1.1,"接近亚马逊","高于亚马逊"))</f>
        <v/>
      </c>
      <c r="R113" s="8">
        <f>ROUND(N113*$B$12,2)</f>
        <v/>
      </c>
      <c r="S113" s="9">
        <f>(O113-N113)/O113</f>
        <v/>
      </c>
      <c r="T113" s="9">
        <f>(N113-K113)/N113</f>
        <v/>
      </c>
      <c r="U113" s="9">
        <f>(N113-K113)/N113-$B$4</f>
        <v/>
      </c>
      <c r="V113" s="7" t="inlineStr">
        <is>
          <t>已匹配</t>
        </is>
      </c>
    </row>
    <row r="114">
      <c r="A114" s="7" t="inlineStr">
        <is>
          <t>SHOP-00113</t>
        </is>
      </c>
      <c r="B114" s="7" t="inlineStr">
        <is>
          <t>宠物干洗喷雾 V3</t>
        </is>
      </c>
      <c r="C114" s="7" t="inlineStr">
        <is>
          <t>PET-宠物-0113</t>
        </is>
      </c>
      <c r="D114" s="7" t="inlineStr">
        <is>
          <t>宠物清洁</t>
        </is>
      </c>
      <c r="E114" s="7" t="n">
        <v>4</v>
      </c>
      <c r="F114" s="7" t="inlineStr">
        <is>
          <t>缺货</t>
        </is>
      </c>
      <c r="G114" s="8" t="n">
        <v>32.72</v>
      </c>
      <c r="H114" s="8" t="n">
        <v>15</v>
      </c>
      <c r="I114" s="8" t="n">
        <v>0</v>
      </c>
      <c r="J114" s="8" t="n">
        <v>0</v>
      </c>
      <c r="K114" s="8">
        <f>G114+H114+I114+J114</f>
        <v/>
      </c>
      <c r="L114" s="9">
        <f>$B$3</f>
        <v/>
      </c>
      <c r="M114" s="9">
        <f>$B$4</f>
        <v/>
      </c>
      <c r="N114" s="8">
        <f>K114/(1-(L114+M114))</f>
        <v/>
      </c>
      <c r="O114" s="8">
        <f>ROUND(K114/(1-(L114+M114)),2)</f>
        <v/>
      </c>
      <c r="P114" s="8" t="n">
        <v>103.38</v>
      </c>
      <c r="Q114" s="7">
        <f>IF(N114&lt;P114,"低于亚马逊",IF(N114&lt;P114*1.1,"接近亚马逊","高于亚马逊"))</f>
        <v/>
      </c>
      <c r="R114" s="8">
        <f>ROUND(N114*$B$12,2)</f>
        <v/>
      </c>
      <c r="S114" s="9">
        <f>(O114-N114)/O114</f>
        <v/>
      </c>
      <c r="T114" s="9">
        <f>(N114-K114)/N114</f>
        <v/>
      </c>
      <c r="U114" s="9">
        <f>(N114-K114)/N114-$B$4</f>
        <v/>
      </c>
      <c r="V114" s="7" t="inlineStr">
        <is>
          <t>已匹配</t>
        </is>
      </c>
    </row>
    <row r="115">
      <c r="A115" s="7" t="inlineStr">
        <is>
          <t>SHOP-00114</t>
        </is>
      </c>
      <c r="B115" s="7" t="inlineStr">
        <is>
          <t>宠物指甲剪套装 V3</t>
        </is>
      </c>
      <c r="C115" s="7" t="inlineStr">
        <is>
          <t>PET-宠物-0114</t>
        </is>
      </c>
      <c r="D115" s="7" t="inlineStr">
        <is>
          <t>宠物服饰</t>
        </is>
      </c>
      <c r="E115" s="7" t="n">
        <v>4</v>
      </c>
      <c r="F115" s="7" t="inlineStr">
        <is>
          <t>库存紧张</t>
        </is>
      </c>
      <c r="G115" s="8" t="n">
        <v>17.53</v>
      </c>
      <c r="H115" s="8" t="n">
        <v>8.970000000000001</v>
      </c>
      <c r="I115" s="8" t="n">
        <v>0</v>
      </c>
      <c r="J115" s="8" t="n">
        <v>0</v>
      </c>
      <c r="K115" s="8">
        <f>G115+H115+I115+J115</f>
        <v/>
      </c>
      <c r="L115" s="9">
        <f>$B$3</f>
        <v/>
      </c>
      <c r="M115" s="9">
        <f>$B$4</f>
        <v/>
      </c>
      <c r="N115" s="8">
        <f>K115/(1-(L115+M115))</f>
        <v/>
      </c>
      <c r="O115" s="8">
        <f>ROUND(K115/(1-(L115+M115)),2)</f>
        <v/>
      </c>
      <c r="P115" s="8" t="n">
        <v>57.87</v>
      </c>
      <c r="Q115" s="7">
        <f>IF(N115&lt;P115,"低于亚马逊",IF(N115&lt;P115*1.1,"接近亚马逊","高于亚马逊"))</f>
        <v/>
      </c>
      <c r="R115" s="8">
        <f>ROUND(N115*$B$12,2)</f>
        <v/>
      </c>
      <c r="S115" s="9">
        <f>(O115-N115)/O115</f>
        <v/>
      </c>
      <c r="T115" s="9">
        <f>(N115-K115)/N115</f>
        <v/>
      </c>
      <c r="U115" s="9">
        <f>(N115-K115)/N115-$B$4</f>
        <v/>
      </c>
      <c r="V115" s="7" t="inlineStr">
        <is>
          <t>已匹配</t>
        </is>
      </c>
    </row>
    <row r="116">
      <c r="A116" s="7" t="inlineStr">
        <is>
          <t>SHOP-00115</t>
        </is>
      </c>
      <c r="B116" s="7" t="inlineStr">
        <is>
          <t>宠物体温计 V3</t>
        </is>
      </c>
      <c r="C116" s="7" t="inlineStr">
        <is>
          <t>PET-宠物-0115</t>
        </is>
      </c>
      <c r="D116" s="7" t="inlineStr">
        <is>
          <t>宠物美容</t>
        </is>
      </c>
      <c r="E116" s="7" t="n">
        <v>3</v>
      </c>
      <c r="F116" s="7" t="inlineStr">
        <is>
          <t>有货</t>
        </is>
      </c>
      <c r="G116" s="8" t="n">
        <v>22.22</v>
      </c>
      <c r="H116" s="8" t="n">
        <v>8.970000000000001</v>
      </c>
      <c r="I116" s="8" t="n">
        <v>0</v>
      </c>
      <c r="J116" s="8" t="n">
        <v>0</v>
      </c>
      <c r="K116" s="8">
        <f>G116+H116+I116+J116</f>
        <v/>
      </c>
      <c r="L116" s="9">
        <f>$B$3</f>
        <v/>
      </c>
      <c r="M116" s="9">
        <f>$B$4</f>
        <v/>
      </c>
      <c r="N116" s="8">
        <f>K116/(1-(L116+M116))</f>
        <v/>
      </c>
      <c r="O116" s="8">
        <f>ROUND(K116/(1-(L116+M116)),2)</f>
        <v/>
      </c>
      <c r="P116" s="8" t="n">
        <v>49.43</v>
      </c>
      <c r="Q116" s="7">
        <f>IF(N116&lt;P116,"低于亚马逊",IF(N116&lt;P116*1.1,"接近亚马逊","高于亚马逊"))</f>
        <v/>
      </c>
      <c r="R116" s="8">
        <f>ROUND(N116*$B$12,2)</f>
        <v/>
      </c>
      <c r="S116" s="9">
        <f>(O116-N116)/O116</f>
        <v/>
      </c>
      <c r="T116" s="9">
        <f>(N116-K116)/N116</f>
        <v/>
      </c>
      <c r="U116" s="9">
        <f>(N116-K116)/N116-$B$4</f>
        <v/>
      </c>
      <c r="V116" s="7" t="inlineStr">
        <is>
          <t>已匹配</t>
        </is>
      </c>
    </row>
    <row r="117">
      <c r="A117" s="7" t="inlineStr">
        <is>
          <t>SHOP-00116</t>
        </is>
      </c>
      <c r="B117" s="7" t="inlineStr">
        <is>
          <t>宠物牙刷牙膏套装 V3</t>
        </is>
      </c>
      <c r="C117" s="7" t="inlineStr">
        <is>
          <t>PET-宠物-0116</t>
        </is>
      </c>
      <c r="D117" s="7" t="inlineStr">
        <is>
          <t>宠物玩具</t>
        </is>
      </c>
      <c r="E117" s="7" t="n">
        <v>4</v>
      </c>
      <c r="F117" s="7" t="inlineStr">
        <is>
          <t>有货</t>
        </is>
      </c>
      <c r="G117" s="8" t="n">
        <v>27.99</v>
      </c>
      <c r="H117" s="8" t="n">
        <v>15</v>
      </c>
      <c r="I117" s="8" t="n">
        <v>0</v>
      </c>
      <c r="J117" s="8" t="n">
        <v>0</v>
      </c>
      <c r="K117" s="8">
        <f>G117+H117+I117+J117</f>
        <v/>
      </c>
      <c r="L117" s="9">
        <f>$B$3</f>
        <v/>
      </c>
      <c r="M117" s="9">
        <f>$B$4</f>
        <v/>
      </c>
      <c r="N117" s="8">
        <f>K117/(1-(L117+M117))</f>
        <v/>
      </c>
      <c r="O117" s="8">
        <f>ROUND(K117/(1-(L117+M117)),2)</f>
        <v/>
      </c>
      <c r="P117" s="8" t="n">
        <v>85.91</v>
      </c>
      <c r="Q117" s="7">
        <f>IF(N117&lt;P117,"低于亚马逊",IF(N117&lt;P117*1.1,"接近亚马逊","高于亚马逊"))</f>
        <v/>
      </c>
      <c r="R117" s="8">
        <f>ROUND(N117*$B$12,2)</f>
        <v/>
      </c>
      <c r="S117" s="9">
        <f>(O117-N117)/O117</f>
        <v/>
      </c>
      <c r="T117" s="9">
        <f>(N117-K117)/N117</f>
        <v/>
      </c>
      <c r="U117" s="9">
        <f>(N117-K117)/N117-$B$4</f>
        <v/>
      </c>
      <c r="V117" s="7" t="inlineStr">
        <is>
          <t>已匹配</t>
        </is>
      </c>
    </row>
    <row r="118">
      <c r="A118" s="7" t="inlineStr">
        <is>
          <t>SHOP-00117</t>
        </is>
      </c>
      <c r="B118" s="7" t="inlineStr">
        <is>
          <t>宠物胸背带 V3</t>
        </is>
      </c>
      <c r="C118" s="7" t="inlineStr">
        <is>
          <t>PET-宠物-0117</t>
        </is>
      </c>
      <c r="D118" s="7" t="inlineStr">
        <is>
          <t>宠物喂食</t>
        </is>
      </c>
      <c r="E118" s="7" t="n">
        <v>1</v>
      </c>
      <c r="F118" s="7" t="inlineStr">
        <is>
          <t>库存紧张</t>
        </is>
      </c>
      <c r="G118" s="8" t="n">
        <v>40.96</v>
      </c>
      <c r="H118" s="8" t="n">
        <v>15</v>
      </c>
      <c r="I118" s="8" t="n">
        <v>0</v>
      </c>
      <c r="J118" s="8" t="n">
        <v>0</v>
      </c>
      <c r="K118" s="8">
        <f>G118+H118+I118+J118</f>
        <v/>
      </c>
      <c r="L118" s="9">
        <f>$B$3</f>
        <v/>
      </c>
      <c r="M118" s="9">
        <f>$B$4</f>
        <v/>
      </c>
      <c r="N118" s="8">
        <f>K118/(1-(L118+M118))</f>
        <v/>
      </c>
      <c r="O118" s="8">
        <f>ROUND(K118/(1-(L118+M118)),2)</f>
        <v/>
      </c>
      <c r="P118" s="8" t="n">
        <v>123.68</v>
      </c>
      <c r="Q118" s="7">
        <f>IF(N118&lt;P118,"低于亚马逊",IF(N118&lt;P118*1.1,"接近亚马逊","高于亚马逊"))</f>
        <v/>
      </c>
      <c r="R118" s="8">
        <f>ROUND(N118*$B$12,2)</f>
        <v/>
      </c>
      <c r="S118" s="9">
        <f>(O118-N118)/O118</f>
        <v/>
      </c>
      <c r="T118" s="9">
        <f>(N118-K118)/N118</f>
        <v/>
      </c>
      <c r="U118" s="9">
        <f>(N118-K118)/N118-$B$4</f>
        <v/>
      </c>
      <c r="V118" s="7" t="inlineStr">
        <is>
          <t>已匹配</t>
        </is>
      </c>
    </row>
    <row r="119">
      <c r="A119" s="7" t="inlineStr">
        <is>
          <t>SHOP-00118</t>
        </is>
      </c>
      <c r="B119" s="7" t="inlineStr">
        <is>
          <t>宠物雨衣套装 V3</t>
        </is>
      </c>
      <c r="C119" s="7" t="inlineStr">
        <is>
          <t>PET-宠物-0118</t>
        </is>
      </c>
      <c r="D119" s="7" t="inlineStr">
        <is>
          <t>宠物出行</t>
        </is>
      </c>
      <c r="E119" s="7" t="n">
        <v>1</v>
      </c>
      <c r="F119" s="7" t="inlineStr">
        <is>
          <t>库存紧张</t>
        </is>
      </c>
      <c r="G119" s="8" t="n">
        <v>37.22</v>
      </c>
      <c r="H119" s="8" t="n">
        <v>15</v>
      </c>
      <c r="I119" s="8" t="n">
        <v>0</v>
      </c>
      <c r="J119" s="8" t="n">
        <v>0</v>
      </c>
      <c r="K119" s="8">
        <f>G119+H119+I119+J119</f>
        <v/>
      </c>
      <c r="L119" s="9">
        <f>$B$3</f>
        <v/>
      </c>
      <c r="M119" s="9">
        <f>$B$4</f>
        <v/>
      </c>
      <c r="N119" s="8">
        <f>K119/(1-(L119+M119))</f>
        <v/>
      </c>
      <c r="O119" s="8">
        <f>ROUND(K119/(1-(L119+M119)),2)</f>
        <v/>
      </c>
      <c r="P119" s="8" t="n">
        <v>102.96</v>
      </c>
      <c r="Q119" s="7">
        <f>IF(N119&lt;P119,"低于亚马逊",IF(N119&lt;P119*1.1,"接近亚马逊","高于亚马逊"))</f>
        <v/>
      </c>
      <c r="R119" s="8">
        <f>ROUND(N119*$B$12,2)</f>
        <v/>
      </c>
      <c r="S119" s="9">
        <f>(O119-N119)/O119</f>
        <v/>
      </c>
      <c r="T119" s="9">
        <f>(N119-K119)/N119</f>
        <v/>
      </c>
      <c r="U119" s="9">
        <f>(N119-K119)/N119-$B$4</f>
        <v/>
      </c>
      <c r="V119" s="7" t="inlineStr">
        <is>
          <t>已匹配</t>
        </is>
      </c>
    </row>
    <row r="120">
      <c r="A120" s="7" t="inlineStr">
        <is>
          <t>SHOP-00119</t>
        </is>
      </c>
      <c r="B120" s="7" t="inlineStr">
        <is>
          <t>宠物门栏围栏 V3</t>
        </is>
      </c>
      <c r="C120" s="7" t="inlineStr">
        <is>
          <t>PET-宠物-0119</t>
        </is>
      </c>
      <c r="D120" s="7" t="inlineStr">
        <is>
          <t>宠物清洁</t>
        </is>
      </c>
      <c r="E120" s="7" t="n">
        <v>1</v>
      </c>
      <c r="F120" s="7" t="inlineStr">
        <is>
          <t>缺货</t>
        </is>
      </c>
      <c r="G120" s="8" t="n">
        <v>42.89</v>
      </c>
      <c r="H120" s="8" t="n">
        <v>15</v>
      </c>
      <c r="I120" s="8" t="n">
        <v>0</v>
      </c>
      <c r="J120" s="8" t="n">
        <v>0</v>
      </c>
      <c r="K120" s="8">
        <f>G120+H120+I120+J120</f>
        <v/>
      </c>
      <c r="L120" s="9">
        <f>$B$3</f>
        <v/>
      </c>
      <c r="M120" s="9">
        <f>$B$4</f>
        <v/>
      </c>
      <c r="N120" s="8">
        <f>K120/(1-(L120+M120))</f>
        <v/>
      </c>
      <c r="O120" s="8">
        <f>ROUND(K120/(1-(L120+M120)),2)</f>
        <v/>
      </c>
      <c r="P120" s="8" t="n">
        <v>144.56</v>
      </c>
      <c r="Q120" s="7">
        <f>IF(N120&lt;P120,"低于亚马逊",IF(N120&lt;P120*1.1,"接近亚马逊","高于亚马逊"))</f>
        <v/>
      </c>
      <c r="R120" s="8">
        <f>ROUND(N120*$B$12,2)</f>
        <v/>
      </c>
      <c r="S120" s="9">
        <f>(O120-N120)/O120</f>
        <v/>
      </c>
      <c r="T120" s="9">
        <f>(N120-K120)/N120</f>
        <v/>
      </c>
      <c r="U120" s="9">
        <f>(N120-K120)/N120-$B$4</f>
        <v/>
      </c>
      <c r="V120" s="7" t="inlineStr">
        <is>
          <t>已匹配</t>
        </is>
      </c>
    </row>
    <row r="121">
      <c r="A121" s="7" t="inlineStr">
        <is>
          <t>SHOP-00120</t>
        </is>
      </c>
      <c r="B121" s="7" t="inlineStr">
        <is>
          <t>宠物床铺垫子 V3</t>
        </is>
      </c>
      <c r="C121" s="7" t="inlineStr">
        <is>
          <t>PET-宠物-0120</t>
        </is>
      </c>
      <c r="D121" s="7" t="inlineStr">
        <is>
          <t>宠物服饰</t>
        </is>
      </c>
      <c r="E121" s="7" t="n">
        <v>2</v>
      </c>
      <c r="F121" s="7" t="inlineStr">
        <is>
          <t>有货</t>
        </is>
      </c>
      <c r="G121" s="8" t="n">
        <v>25.84</v>
      </c>
      <c r="H121" s="8" t="n">
        <v>15</v>
      </c>
      <c r="I121" s="8" t="n">
        <v>0</v>
      </c>
      <c r="J121" s="8" t="n">
        <v>0</v>
      </c>
      <c r="K121" s="8">
        <f>G121+H121+I121+J121</f>
        <v/>
      </c>
      <c r="L121" s="9">
        <f>$B$3</f>
        <v/>
      </c>
      <c r="M121" s="9">
        <f>$B$4</f>
        <v/>
      </c>
      <c r="N121" s="8">
        <f>K121/(1-(L121+M121))</f>
        <v/>
      </c>
      <c r="O121" s="8">
        <f>ROUND(K121/(1-(L121+M121)),2)</f>
        <v/>
      </c>
      <c r="P121" s="8" t="n">
        <v>87.48</v>
      </c>
      <c r="Q121" s="7">
        <f>IF(N121&lt;P121,"低于亚马逊",IF(N121&lt;P121*1.1,"接近亚马逊","高于亚马逊"))</f>
        <v/>
      </c>
      <c r="R121" s="8">
        <f>ROUND(N121*$B$12,2)</f>
        <v/>
      </c>
      <c r="S121" s="9">
        <f>(O121-N121)/O121</f>
        <v/>
      </c>
      <c r="T121" s="9">
        <f>(N121-K121)/N121</f>
        <v/>
      </c>
      <c r="U121" s="9">
        <f>(N121-K121)/N121-$B$4</f>
        <v/>
      </c>
      <c r="V121" s="7" t="inlineStr">
        <is>
          <t>已匹配</t>
        </is>
      </c>
    </row>
    <row r="122">
      <c r="A122" s="7" t="inlineStr">
        <is>
          <t>SHOP-00121</t>
        </is>
      </c>
      <c r="B122" s="7" t="inlineStr">
        <is>
          <t>宠物喂食碗套装 V3</t>
        </is>
      </c>
      <c r="C122" s="7" t="inlineStr">
        <is>
          <t>PET-宠物-0121</t>
        </is>
      </c>
      <c r="D122" s="7" t="inlineStr">
        <is>
          <t>宠物美容</t>
        </is>
      </c>
      <c r="E122" s="7" t="n">
        <v>3</v>
      </c>
      <c r="F122" s="7" t="inlineStr">
        <is>
          <t>有货</t>
        </is>
      </c>
      <c r="G122" s="8" t="n">
        <v>32.3</v>
      </c>
      <c r="H122" s="8" t="n">
        <v>15</v>
      </c>
      <c r="I122" s="8" t="n">
        <v>0</v>
      </c>
      <c r="J122" s="8" t="n">
        <v>0</v>
      </c>
      <c r="K122" s="8">
        <f>G122+H122+I122+J122</f>
        <v/>
      </c>
      <c r="L122" s="9">
        <f>$B$3</f>
        <v/>
      </c>
      <c r="M122" s="9">
        <f>$B$4</f>
        <v/>
      </c>
      <c r="N122" s="8">
        <f>K122/(1-(L122+M122))</f>
        <v/>
      </c>
      <c r="O122" s="8">
        <f>ROUND(K122/(1-(L122+M122)),2)</f>
        <v/>
      </c>
      <c r="P122" s="8" t="n">
        <v>97.18000000000001</v>
      </c>
      <c r="Q122" s="7">
        <f>IF(N122&lt;P122,"低于亚马逊",IF(N122&lt;P122*1.1,"接近亚马逊","高于亚马逊"))</f>
        <v/>
      </c>
      <c r="R122" s="8">
        <f>ROUND(N122*$B$12,2)</f>
        <v/>
      </c>
      <c r="S122" s="9">
        <f>(O122-N122)/O122</f>
        <v/>
      </c>
      <c r="T122" s="9">
        <f>(N122-K122)/N122</f>
        <v/>
      </c>
      <c r="U122" s="9">
        <f>(N122-K122)/N122-$B$4</f>
        <v/>
      </c>
      <c r="V122" s="7" t="inlineStr">
        <is>
          <t>已匹配</t>
        </is>
      </c>
    </row>
    <row r="123">
      <c r="A123" s="7" t="inlineStr">
        <is>
          <t>SHOP-00122</t>
        </is>
      </c>
      <c r="B123" s="7" t="inlineStr">
        <is>
          <t>宠物饮水瓶 V3</t>
        </is>
      </c>
      <c r="C123" s="7" t="inlineStr">
        <is>
          <t>PET-宠物-0122</t>
        </is>
      </c>
      <c r="D123" s="7" t="inlineStr">
        <is>
          <t>宠物玩具</t>
        </is>
      </c>
      <c r="E123" s="7" t="n">
        <v>2</v>
      </c>
      <c r="F123" s="7" t="inlineStr">
        <is>
          <t>有货</t>
        </is>
      </c>
      <c r="G123" s="8" t="n">
        <v>13.89</v>
      </c>
      <c r="H123" s="8" t="n">
        <v>8.970000000000001</v>
      </c>
      <c r="I123" s="8" t="n">
        <v>0</v>
      </c>
      <c r="J123" s="8" t="n">
        <v>0</v>
      </c>
      <c r="K123" s="8">
        <f>G123+H123+I123+J123</f>
        <v/>
      </c>
      <c r="L123" s="9">
        <f>$B$3</f>
        <v/>
      </c>
      <c r="M123" s="9">
        <f>$B$4</f>
        <v/>
      </c>
      <c r="N123" s="8">
        <f>K123/(1-(L123+M123))</f>
        <v/>
      </c>
      <c r="O123" s="8">
        <f>ROUND(K123/(1-(L123+M123)),2)</f>
        <v/>
      </c>
      <c r="P123" s="8" t="n">
        <v>32.86</v>
      </c>
      <c r="Q123" s="7">
        <f>IF(N123&lt;P123,"低于亚马逊",IF(N123&lt;P123*1.1,"接近亚马逊","高于亚马逊"))</f>
        <v/>
      </c>
      <c r="R123" s="8">
        <f>ROUND(N123*$B$12,2)</f>
        <v/>
      </c>
      <c r="S123" s="9">
        <f>(O123-N123)/O123</f>
        <v/>
      </c>
      <c r="T123" s="9">
        <f>(N123-K123)/N123</f>
        <v/>
      </c>
      <c r="U123" s="9">
        <f>(N123-K123)/N123-$B$4</f>
        <v/>
      </c>
      <c r="V123" s="7" t="inlineStr">
        <is>
          <t>已匹配</t>
        </is>
      </c>
    </row>
    <row r="124">
      <c r="A124" s="7" t="inlineStr">
        <is>
          <t>SHOP-00123</t>
        </is>
      </c>
      <c r="B124" s="7" t="inlineStr">
        <is>
          <t>宠物零食袋 V3</t>
        </is>
      </c>
      <c r="C124" s="7" t="inlineStr">
        <is>
          <t>PET-宠物-0123</t>
        </is>
      </c>
      <c r="D124" s="7" t="inlineStr">
        <is>
          <t>宠物喂食</t>
        </is>
      </c>
      <c r="E124" s="7" t="n">
        <v>3</v>
      </c>
      <c r="F124" s="7" t="inlineStr">
        <is>
          <t>库存紧张</t>
        </is>
      </c>
      <c r="G124" s="8" t="n">
        <v>32.4</v>
      </c>
      <c r="H124" s="8" t="n">
        <v>15</v>
      </c>
      <c r="I124" s="8" t="n">
        <v>0</v>
      </c>
      <c r="J124" s="8" t="n">
        <v>0</v>
      </c>
      <c r="K124" s="8">
        <f>G124+H124+I124+J124</f>
        <v/>
      </c>
      <c r="L124" s="9">
        <f>$B$3</f>
        <v/>
      </c>
      <c r="M124" s="9">
        <f>$B$4</f>
        <v/>
      </c>
      <c r="N124" s="8">
        <f>K124/(1-(L124+M124))</f>
        <v/>
      </c>
      <c r="O124" s="8">
        <f>ROUND(K124/(1-(L124+M124)),2)</f>
        <v/>
      </c>
      <c r="P124" s="8" t="n">
        <v>93.43000000000001</v>
      </c>
      <c r="Q124" s="7">
        <f>IF(N124&lt;P124,"低于亚马逊",IF(N124&lt;P124*1.1,"接近亚马逊","高于亚马逊"))</f>
        <v/>
      </c>
      <c r="R124" s="8">
        <f>ROUND(N124*$B$12,2)</f>
        <v/>
      </c>
      <c r="S124" s="9">
        <f>(O124-N124)/O124</f>
        <v/>
      </c>
      <c r="T124" s="9">
        <f>(N124-K124)/N124</f>
        <v/>
      </c>
      <c r="U124" s="9">
        <f>(N124-K124)/N124-$B$4</f>
        <v/>
      </c>
      <c r="V124" s="7" t="inlineStr">
        <is>
          <t>已匹配</t>
        </is>
      </c>
    </row>
    <row r="125">
      <c r="A125" s="7" t="inlineStr">
        <is>
          <t>SHOP-00124</t>
        </is>
      </c>
      <c r="B125" s="7" t="inlineStr">
        <is>
          <t>宠物玩具球 V3</t>
        </is>
      </c>
      <c r="C125" s="7" t="inlineStr">
        <is>
          <t>PET-宠物-0124</t>
        </is>
      </c>
      <c r="D125" s="7" t="inlineStr">
        <is>
          <t>宠物出行</t>
        </is>
      </c>
      <c r="E125" s="7" t="n">
        <v>1</v>
      </c>
      <c r="F125" s="7" t="inlineStr">
        <is>
          <t>有货</t>
        </is>
      </c>
      <c r="G125" s="8" t="n">
        <v>16.12</v>
      </c>
      <c r="H125" s="8" t="n">
        <v>8.970000000000001</v>
      </c>
      <c r="I125" s="8" t="n">
        <v>0</v>
      </c>
      <c r="J125" s="8" t="n">
        <v>0</v>
      </c>
      <c r="K125" s="8">
        <f>G125+H125+I125+J125</f>
        <v/>
      </c>
      <c r="L125" s="9">
        <f>$B$3</f>
        <v/>
      </c>
      <c r="M125" s="9">
        <f>$B$4</f>
        <v/>
      </c>
      <c r="N125" s="8">
        <f>K125/(1-(L125+M125))</f>
        <v/>
      </c>
      <c r="O125" s="8">
        <f>ROUND(K125/(1-(L125+M125)),2)</f>
        <v/>
      </c>
      <c r="P125" s="8" t="n">
        <v>47.87</v>
      </c>
      <c r="Q125" s="7">
        <f>IF(N125&lt;P125,"低于亚马逊",IF(N125&lt;P125*1.1,"接近亚马逊","高于亚马逊"))</f>
        <v/>
      </c>
      <c r="R125" s="8">
        <f>ROUND(N125*$B$12,2)</f>
        <v/>
      </c>
      <c r="S125" s="9">
        <f>(O125-N125)/O125</f>
        <v/>
      </c>
      <c r="T125" s="9">
        <f>(N125-K125)/N125</f>
        <v/>
      </c>
      <c r="U125" s="9">
        <f>(N125-K125)/N125-$B$4</f>
        <v/>
      </c>
      <c r="V125" s="7" t="inlineStr">
        <is>
          <t>已匹配</t>
        </is>
      </c>
    </row>
    <row r="126">
      <c r="A126" s="7" t="inlineStr">
        <is>
          <t>SHOP-00125</t>
        </is>
      </c>
      <c r="B126" s="7" t="inlineStr">
        <is>
          <t>宠物毛绒玩偶 V3</t>
        </is>
      </c>
      <c r="C126" s="7" t="inlineStr">
        <is>
          <t>PET-宠物-0125</t>
        </is>
      </c>
      <c r="D126" s="7" t="inlineStr">
        <is>
          <t>宠物清洁</t>
        </is>
      </c>
      <c r="E126" s="7" t="n">
        <v>3</v>
      </c>
      <c r="F126" s="7" t="inlineStr">
        <is>
          <t>缺货</t>
        </is>
      </c>
      <c r="G126" s="8" t="n">
        <v>41.41</v>
      </c>
      <c r="H126" s="8" t="n">
        <v>15</v>
      </c>
      <c r="I126" s="8" t="n">
        <v>0</v>
      </c>
      <c r="J126" s="8" t="n">
        <v>0</v>
      </c>
      <c r="K126" s="8">
        <f>G126+H126+I126+J126</f>
        <v/>
      </c>
      <c r="L126" s="9">
        <f>$B$3</f>
        <v/>
      </c>
      <c r="M126" s="9">
        <f>$B$4</f>
        <v/>
      </c>
      <c r="N126" s="8">
        <f>K126/(1-(L126+M126))</f>
        <v/>
      </c>
      <c r="O126" s="8">
        <f>ROUND(K126/(1-(L126+M126)),2)</f>
        <v/>
      </c>
      <c r="P126" s="8" t="n">
        <v>104.24</v>
      </c>
      <c r="Q126" s="7">
        <f>IF(N126&lt;P126,"低于亚马逊",IF(N126&lt;P126*1.1,"接近亚马逊","高于亚马逊"))</f>
        <v/>
      </c>
      <c r="R126" s="8">
        <f>ROUND(N126*$B$12,2)</f>
        <v/>
      </c>
      <c r="S126" s="9">
        <f>(O126-N126)/O126</f>
        <v/>
      </c>
      <c r="T126" s="9">
        <f>(N126-K126)/N126</f>
        <v/>
      </c>
      <c r="U126" s="9">
        <f>(N126-K126)/N126-$B$4</f>
        <v/>
      </c>
      <c r="V126" s="7" t="inlineStr">
        <is>
          <t>已匹配</t>
        </is>
      </c>
    </row>
    <row r="127">
      <c r="A127" s="7" t="inlineStr">
        <is>
          <t>SHOP-00126</t>
        </is>
      </c>
      <c r="B127" s="7" t="inlineStr">
        <is>
          <t>宠物猫爬架配件 V3</t>
        </is>
      </c>
      <c r="C127" s="7" t="inlineStr">
        <is>
          <t>PET-宠物-0126</t>
        </is>
      </c>
      <c r="D127" s="7" t="inlineStr">
        <is>
          <t>宠物服饰</t>
        </is>
      </c>
      <c r="E127" s="7" t="n">
        <v>1</v>
      </c>
      <c r="F127" s="7" t="inlineStr">
        <is>
          <t>库存紧张</t>
        </is>
      </c>
      <c r="G127" s="8" t="n">
        <v>28.93</v>
      </c>
      <c r="H127" s="8" t="n">
        <v>15</v>
      </c>
      <c r="I127" s="8" t="n">
        <v>0</v>
      </c>
      <c r="J127" s="8" t="n">
        <v>0</v>
      </c>
      <c r="K127" s="8">
        <f>G127+H127+I127+J127</f>
        <v/>
      </c>
      <c r="L127" s="9">
        <f>$B$3</f>
        <v/>
      </c>
      <c r="M127" s="9">
        <f>$B$4</f>
        <v/>
      </c>
      <c r="N127" s="8">
        <f>K127/(1-(L127+M127))</f>
        <v/>
      </c>
      <c r="O127" s="8">
        <f>ROUND(K127/(1-(L127+M127)),2)</f>
        <v/>
      </c>
      <c r="P127" s="8" t="n">
        <v>65.15000000000001</v>
      </c>
      <c r="Q127" s="7">
        <f>IF(N127&lt;P127,"低于亚马逊",IF(N127&lt;P127*1.1,"接近亚马逊","高于亚马逊"))</f>
        <v/>
      </c>
      <c r="R127" s="8">
        <f>ROUND(N127*$B$12,2)</f>
        <v/>
      </c>
      <c r="S127" s="9">
        <f>(O127-N127)/O127</f>
        <v/>
      </c>
      <c r="T127" s="9">
        <f>(N127-K127)/N127</f>
        <v/>
      </c>
      <c r="U127" s="9">
        <f>(N127-K127)/N127-$B$4</f>
        <v/>
      </c>
      <c r="V127" s="7" t="inlineStr">
        <is>
          <t>已匹配</t>
        </is>
      </c>
    </row>
    <row r="128">
      <c r="A128" s="7" t="inlineStr">
        <is>
          <t>SHOP-00127</t>
        </is>
      </c>
      <c r="B128" s="7" t="inlineStr">
        <is>
          <t>宠物狗垫子 V3</t>
        </is>
      </c>
      <c r="C128" s="7" t="inlineStr">
        <is>
          <t>PET-宠物-0127</t>
        </is>
      </c>
      <c r="D128" s="7" t="inlineStr">
        <is>
          <t>宠物美容</t>
        </is>
      </c>
      <c r="E128" s="7" t="n">
        <v>1</v>
      </c>
      <c r="F128" s="7" t="inlineStr">
        <is>
          <t>有货</t>
        </is>
      </c>
      <c r="G128" s="8" t="n">
        <v>29.7</v>
      </c>
      <c r="H128" s="8" t="n">
        <v>15</v>
      </c>
      <c r="I128" s="8" t="n">
        <v>0</v>
      </c>
      <c r="J128" s="8" t="n">
        <v>0</v>
      </c>
      <c r="K128" s="8">
        <f>G128+H128+I128+J128</f>
        <v/>
      </c>
      <c r="L128" s="9">
        <f>$B$3</f>
        <v/>
      </c>
      <c r="M128" s="9">
        <f>$B$4</f>
        <v/>
      </c>
      <c r="N128" s="8">
        <f>K128/(1-(L128+M128))</f>
        <v/>
      </c>
      <c r="O128" s="8">
        <f>ROUND(K128/(1-(L128+M128)),2)</f>
        <v/>
      </c>
      <c r="P128" s="8" t="n">
        <v>99.40000000000001</v>
      </c>
      <c r="Q128" s="7">
        <f>IF(N128&lt;P128,"低于亚马逊",IF(N128&lt;P128*1.1,"接近亚马逊","高于亚马逊"))</f>
        <v/>
      </c>
      <c r="R128" s="8">
        <f>ROUND(N128*$B$12,2)</f>
        <v/>
      </c>
      <c r="S128" s="9">
        <f>(O128-N128)/O128</f>
        <v/>
      </c>
      <c r="T128" s="9">
        <f>(N128-K128)/N128</f>
        <v/>
      </c>
      <c r="U128" s="9">
        <f>(N128-K128)/N128-$B$4</f>
        <v/>
      </c>
      <c r="V128" s="7" t="inlineStr">
        <is>
          <t>已匹配</t>
        </is>
      </c>
    </row>
    <row r="129">
      <c r="A129" s="7" t="inlineStr">
        <is>
          <t>SHOP-00128</t>
        </is>
      </c>
      <c r="B129" s="7" t="inlineStr">
        <is>
          <t>宠物推车雨棚 V3</t>
        </is>
      </c>
      <c r="C129" s="7" t="inlineStr">
        <is>
          <t>PET-宠物-0128</t>
        </is>
      </c>
      <c r="D129" s="7" t="inlineStr">
        <is>
          <t>宠物玩具</t>
        </is>
      </c>
      <c r="E129" s="7" t="n">
        <v>4</v>
      </c>
      <c r="F129" s="7" t="inlineStr">
        <is>
          <t>有货</t>
        </is>
      </c>
      <c r="G129" s="8" t="n">
        <v>37.31</v>
      </c>
      <c r="H129" s="8" t="n">
        <v>15</v>
      </c>
      <c r="I129" s="8" t="n">
        <v>0</v>
      </c>
      <c r="J129" s="8" t="n">
        <v>0</v>
      </c>
      <c r="K129" s="8">
        <f>G129+H129+I129+J129</f>
        <v/>
      </c>
      <c r="L129" s="9">
        <f>$B$3</f>
        <v/>
      </c>
      <c r="M129" s="9">
        <f>$B$4</f>
        <v/>
      </c>
      <c r="N129" s="8">
        <f>K129/(1-(L129+M129))</f>
        <v/>
      </c>
      <c r="O129" s="8">
        <f>ROUND(K129/(1-(L129+M129)),2)</f>
        <v/>
      </c>
      <c r="P129" s="8" t="n">
        <v>99.33</v>
      </c>
      <c r="Q129" s="7">
        <f>IF(N129&lt;P129,"低于亚马逊",IF(N129&lt;P129*1.1,"接近亚马逊","高于亚马逊"))</f>
        <v/>
      </c>
      <c r="R129" s="8">
        <f>ROUND(N129*$B$12,2)</f>
        <v/>
      </c>
      <c r="S129" s="9">
        <f>(O129-N129)/O129</f>
        <v/>
      </c>
      <c r="T129" s="9">
        <f>(N129-K129)/N129</f>
        <v/>
      </c>
      <c r="U129" s="9">
        <f>(N129-K129)/N129-$B$4</f>
        <v/>
      </c>
      <c r="V129" s="7" t="inlineStr">
        <is>
          <t>已匹配</t>
        </is>
      </c>
    </row>
    <row r="130">
      <c r="A130" s="7" t="inlineStr">
        <is>
          <t>SHOP-00129</t>
        </is>
      </c>
      <c r="B130" s="7" t="inlineStr">
        <is>
          <t>宠物外出水杯 V3</t>
        </is>
      </c>
      <c r="C130" s="7" t="inlineStr">
        <is>
          <t>PET-宠物-0129</t>
        </is>
      </c>
      <c r="D130" s="7" t="inlineStr">
        <is>
          <t>宠物喂食</t>
        </is>
      </c>
      <c r="E130" s="7" t="n">
        <v>3</v>
      </c>
      <c r="F130" s="7" t="inlineStr">
        <is>
          <t>有货</t>
        </is>
      </c>
      <c r="G130" s="8" t="n">
        <v>7.71</v>
      </c>
      <c r="H130" s="8" t="n">
        <v>6.44</v>
      </c>
      <c r="I130" s="8" t="n">
        <v>0</v>
      </c>
      <c r="J130" s="8" t="n">
        <v>0</v>
      </c>
      <c r="K130" s="8">
        <f>G130+H130+I130+J130</f>
        <v/>
      </c>
      <c r="L130" s="9">
        <f>$B$3</f>
        <v/>
      </c>
      <c r="M130" s="9">
        <f>$B$4</f>
        <v/>
      </c>
      <c r="N130" s="8">
        <f>K130/(1-(L130+M130))</f>
        <v/>
      </c>
      <c r="O130" s="8">
        <f>ROUND(K130/(1-(L130+M130)),2)</f>
        <v/>
      </c>
      <c r="P130" s="8" t="n">
        <v>21.85</v>
      </c>
      <c r="Q130" s="7">
        <f>IF(N130&lt;P130,"低于亚马逊",IF(N130&lt;P130*1.1,"接近亚马逊","高于亚马逊"))</f>
        <v/>
      </c>
      <c r="R130" s="8">
        <f>ROUND(N130*$B$12,2)</f>
        <v/>
      </c>
      <c r="S130" s="9">
        <f>(O130-N130)/O130</f>
        <v/>
      </c>
      <c r="T130" s="9">
        <f>(N130-K130)/N130</f>
        <v/>
      </c>
      <c r="U130" s="9">
        <f>(N130-K130)/N130-$B$4</f>
        <v/>
      </c>
      <c r="V130" s="7" t="inlineStr">
        <is>
          <t>已匹配</t>
        </is>
      </c>
    </row>
    <row r="131">
      <c r="A131" s="7" t="inlineStr">
        <is>
          <t>SHOP-00130</t>
        </is>
      </c>
      <c r="B131" s="7" t="inlineStr">
        <is>
          <t>宠物驱虫滴剂 V3</t>
        </is>
      </c>
      <c r="C131" s="7" t="inlineStr">
        <is>
          <t>PET-宠物-0130</t>
        </is>
      </c>
      <c r="D131" s="7" t="inlineStr">
        <is>
          <t>宠物出行</t>
        </is>
      </c>
      <c r="E131" s="7" t="n">
        <v>1</v>
      </c>
      <c r="F131" s="7" t="inlineStr">
        <is>
          <t>缺货</t>
        </is>
      </c>
      <c r="G131" s="8" t="n">
        <v>8.58</v>
      </c>
      <c r="H131" s="8" t="n">
        <v>6.44</v>
      </c>
      <c r="I131" s="8" t="n">
        <v>0</v>
      </c>
      <c r="J131" s="8" t="n">
        <v>0</v>
      </c>
      <c r="K131" s="8">
        <f>G131+H131+I131+J131</f>
        <v/>
      </c>
      <c r="L131" s="9">
        <f>$B$3</f>
        <v/>
      </c>
      <c r="M131" s="9">
        <f>$B$4</f>
        <v/>
      </c>
      <c r="N131" s="8">
        <f>K131/(1-(L131+M131))</f>
        <v/>
      </c>
      <c r="O131" s="8">
        <f>ROUND(K131/(1-(L131+M131)),2)</f>
        <v/>
      </c>
      <c r="P131" s="8" t="n">
        <v>27.57</v>
      </c>
      <c r="Q131" s="7">
        <f>IF(N131&lt;P131,"低于亚马逊",IF(N131&lt;P131*1.1,"接近亚马逊","高于亚马逊"))</f>
        <v/>
      </c>
      <c r="R131" s="8">
        <f>ROUND(N131*$B$12,2)</f>
        <v/>
      </c>
      <c r="S131" s="9">
        <f>(O131-N131)/O131</f>
        <v/>
      </c>
      <c r="T131" s="9">
        <f>(N131-K131)/N131</f>
        <v/>
      </c>
      <c r="U131" s="9">
        <f>(N131-K131)/N131-$B$4</f>
        <v/>
      </c>
      <c r="V131" s="7" t="inlineStr">
        <is>
          <t>已匹配</t>
        </is>
      </c>
    </row>
    <row r="132">
      <c r="A132" s="7" t="inlineStr">
        <is>
          <t>SHOP-00131</t>
        </is>
      </c>
      <c r="B132" s="7" t="inlineStr">
        <is>
          <t>宠物耳部清洁液 V3</t>
        </is>
      </c>
      <c r="C132" s="7" t="inlineStr">
        <is>
          <t>PET-宠物-0131</t>
        </is>
      </c>
      <c r="D132" s="7" t="inlineStr">
        <is>
          <t>宠物清洁</t>
        </is>
      </c>
      <c r="E132" s="7" t="n">
        <v>1</v>
      </c>
      <c r="F132" s="7" t="inlineStr">
        <is>
          <t>缺货</t>
        </is>
      </c>
      <c r="G132" s="8" t="n">
        <v>12.74</v>
      </c>
      <c r="H132" s="8" t="n">
        <v>8.970000000000001</v>
      </c>
      <c r="I132" s="8" t="n">
        <v>0</v>
      </c>
      <c r="J132" s="8" t="n">
        <v>0</v>
      </c>
      <c r="K132" s="8">
        <f>G132+H132+I132+J132</f>
        <v/>
      </c>
      <c r="L132" s="9">
        <f>$B$3</f>
        <v/>
      </c>
      <c r="M132" s="9">
        <f>$B$4</f>
        <v/>
      </c>
      <c r="N132" s="8">
        <f>K132/(1-(L132+M132))</f>
        <v/>
      </c>
      <c r="O132" s="8">
        <f>ROUND(K132/(1-(L132+M132)),2)</f>
        <v/>
      </c>
      <c r="P132" s="8" t="n">
        <v>43.23</v>
      </c>
      <c r="Q132" s="7">
        <f>IF(N132&lt;P132,"低于亚马逊",IF(N132&lt;P132*1.1,"接近亚马逊","高于亚马逊"))</f>
        <v/>
      </c>
      <c r="R132" s="8">
        <f>ROUND(N132*$B$12,2)</f>
        <v/>
      </c>
      <c r="S132" s="9">
        <f>(O132-N132)/O132</f>
        <v/>
      </c>
      <c r="T132" s="9">
        <f>(N132-K132)/N132</f>
        <v/>
      </c>
      <c r="U132" s="9">
        <f>(N132-K132)/N132-$B$4</f>
        <v/>
      </c>
      <c r="V132" s="7" t="inlineStr">
        <is>
          <t>已匹配</t>
        </is>
      </c>
    </row>
    <row r="133">
      <c r="A133" s="7" t="inlineStr">
        <is>
          <t>SHOP-00132</t>
        </is>
      </c>
      <c r="B133" s="7" t="inlineStr">
        <is>
          <t>宠物眼部护理液 V3</t>
        </is>
      </c>
      <c r="C133" s="7" t="inlineStr">
        <is>
          <t>PET-宠物-0132</t>
        </is>
      </c>
      <c r="D133" s="7" t="inlineStr">
        <is>
          <t>宠物服饰</t>
        </is>
      </c>
      <c r="E133" s="7" t="n">
        <v>4</v>
      </c>
      <c r="F133" s="7" t="inlineStr">
        <is>
          <t>库存紧张</t>
        </is>
      </c>
      <c r="G133" s="8" t="n">
        <v>35.59</v>
      </c>
      <c r="H133" s="8" t="n">
        <v>15</v>
      </c>
      <c r="I133" s="8" t="n">
        <v>0</v>
      </c>
      <c r="J133" s="8" t="n">
        <v>0</v>
      </c>
      <c r="K133" s="8">
        <f>G133+H133+I133+J133</f>
        <v/>
      </c>
      <c r="L133" s="9">
        <f>$B$3</f>
        <v/>
      </c>
      <c r="M133" s="9">
        <f>$B$4</f>
        <v/>
      </c>
      <c r="N133" s="8">
        <f>K133/(1-(L133+M133))</f>
        <v/>
      </c>
      <c r="O133" s="8">
        <f>ROUND(K133/(1-(L133+M133)),2)</f>
        <v/>
      </c>
      <c r="P133" s="8" t="n">
        <v>121.32</v>
      </c>
      <c r="Q133" s="7">
        <f>IF(N133&lt;P133,"低于亚马逊",IF(N133&lt;P133*1.1,"接近亚马逊","高于亚马逊"))</f>
        <v/>
      </c>
      <c r="R133" s="8">
        <f>ROUND(N133*$B$12,2)</f>
        <v/>
      </c>
      <c r="S133" s="9">
        <f>(O133-N133)/O133</f>
        <v/>
      </c>
      <c r="T133" s="9">
        <f>(N133-K133)/N133</f>
        <v/>
      </c>
      <c r="U133" s="9">
        <f>(N133-K133)/N133-$B$4</f>
        <v/>
      </c>
      <c r="V133" s="7" t="inlineStr">
        <is>
          <t>已匹配</t>
        </is>
      </c>
    </row>
    <row r="134">
      <c r="A134" s="7" t="inlineStr">
        <is>
          <t>SHOP-00133</t>
        </is>
      </c>
      <c r="B134" s="7" t="inlineStr">
        <is>
          <t>宠物益生菌粉 V3</t>
        </is>
      </c>
      <c r="C134" s="7" t="inlineStr">
        <is>
          <t>PET-宠物-0133</t>
        </is>
      </c>
      <c r="D134" s="7" t="inlineStr">
        <is>
          <t>宠物美容</t>
        </is>
      </c>
      <c r="E134" s="7" t="n">
        <v>1</v>
      </c>
      <c r="F134" s="7" t="inlineStr">
        <is>
          <t>有货</t>
        </is>
      </c>
      <c r="G134" s="8" t="n">
        <v>16.42</v>
      </c>
      <c r="H134" s="8" t="n">
        <v>8.970000000000001</v>
      </c>
      <c r="I134" s="8" t="n">
        <v>0</v>
      </c>
      <c r="J134" s="8" t="n">
        <v>0</v>
      </c>
      <c r="K134" s="8">
        <f>G134+H134+I134+J134</f>
        <v/>
      </c>
      <c r="L134" s="9">
        <f>$B$3</f>
        <v/>
      </c>
      <c r="M134" s="9">
        <f>$B$4</f>
        <v/>
      </c>
      <c r="N134" s="8">
        <f>K134/(1-(L134+M134))</f>
        <v/>
      </c>
      <c r="O134" s="8">
        <f>ROUND(K134/(1-(L134+M134)),2)</f>
        <v/>
      </c>
      <c r="P134" s="8" t="n">
        <v>46.1</v>
      </c>
      <c r="Q134" s="7">
        <f>IF(N134&lt;P134,"低于亚马逊",IF(N134&lt;P134*1.1,"接近亚马逊","高于亚马逊"))</f>
        <v/>
      </c>
      <c r="R134" s="8">
        <f>ROUND(N134*$B$12,2)</f>
        <v/>
      </c>
      <c r="S134" s="9">
        <f>(O134-N134)/O134</f>
        <v/>
      </c>
      <c r="T134" s="9">
        <f>(N134-K134)/N134</f>
        <v/>
      </c>
      <c r="U134" s="9">
        <f>(N134-K134)/N134-$B$4</f>
        <v/>
      </c>
      <c r="V134" s="7" t="inlineStr">
        <is>
          <t>已匹配</t>
        </is>
      </c>
    </row>
    <row r="135">
      <c r="A135" s="7" t="inlineStr">
        <is>
          <t>SHOP-00134</t>
        </is>
      </c>
      <c r="B135" s="7" t="inlineStr">
        <is>
          <t>宠物钙片营养品 V3</t>
        </is>
      </c>
      <c r="C135" s="7" t="inlineStr">
        <is>
          <t>PET-宠物-0134</t>
        </is>
      </c>
      <c r="D135" s="7" t="inlineStr">
        <is>
          <t>宠物玩具</t>
        </is>
      </c>
      <c r="E135" s="7" t="n">
        <v>3</v>
      </c>
      <c r="F135" s="7" t="inlineStr">
        <is>
          <t>缺货</t>
        </is>
      </c>
      <c r="G135" s="8" t="n">
        <v>37.57</v>
      </c>
      <c r="H135" s="8" t="n">
        <v>15</v>
      </c>
      <c r="I135" s="8" t="n">
        <v>0</v>
      </c>
      <c r="J135" s="8" t="n">
        <v>0</v>
      </c>
      <c r="K135" s="8">
        <f>G135+H135+I135+J135</f>
        <v/>
      </c>
      <c r="L135" s="9">
        <f>$B$3</f>
        <v/>
      </c>
      <c r="M135" s="9">
        <f>$B$4</f>
        <v/>
      </c>
      <c r="N135" s="8">
        <f>K135/(1-(L135+M135))</f>
        <v/>
      </c>
      <c r="O135" s="8">
        <f>ROUND(K135/(1-(L135+M135)),2)</f>
        <v/>
      </c>
      <c r="P135" s="8" t="n">
        <v>115.75</v>
      </c>
      <c r="Q135" s="7">
        <f>IF(N135&lt;P135,"低于亚马逊",IF(N135&lt;P135*1.1,"接近亚马逊","高于亚马逊"))</f>
        <v/>
      </c>
      <c r="R135" s="8">
        <f>ROUND(N135*$B$12,2)</f>
        <v/>
      </c>
      <c r="S135" s="9">
        <f>(O135-N135)/O135</f>
        <v/>
      </c>
      <c r="T135" s="9">
        <f>(N135-K135)/N135</f>
        <v/>
      </c>
      <c r="U135" s="9">
        <f>(N135-K135)/N135-$B$4</f>
        <v/>
      </c>
      <c r="V135" s="7" t="inlineStr">
        <is>
          <t>已匹配</t>
        </is>
      </c>
    </row>
    <row r="136">
      <c r="A136" s="7" t="inlineStr">
        <is>
          <t>SHOP-00135</t>
        </is>
      </c>
      <c r="B136" s="7" t="inlineStr">
        <is>
          <t>宠物化毛膏 V3</t>
        </is>
      </c>
      <c r="C136" s="7" t="inlineStr">
        <is>
          <t>PET-宠物-0135</t>
        </is>
      </c>
      <c r="D136" s="7" t="inlineStr">
        <is>
          <t>宠物喂食</t>
        </is>
      </c>
      <c r="E136" s="7" t="n">
        <v>4</v>
      </c>
      <c r="F136" s="7" t="inlineStr">
        <is>
          <t>有货</t>
        </is>
      </c>
      <c r="G136" s="8" t="n">
        <v>12.9</v>
      </c>
      <c r="H136" s="8" t="n">
        <v>8.970000000000001</v>
      </c>
      <c r="I136" s="8" t="n">
        <v>0</v>
      </c>
      <c r="J136" s="8" t="n">
        <v>0</v>
      </c>
      <c r="K136" s="8">
        <f>G136+H136+I136+J136</f>
        <v/>
      </c>
      <c r="L136" s="9">
        <f>$B$3</f>
        <v/>
      </c>
      <c r="M136" s="9">
        <f>$B$4</f>
        <v/>
      </c>
      <c r="N136" s="8">
        <f>K136/(1-(L136+M136))</f>
        <v/>
      </c>
      <c r="O136" s="8">
        <f>ROUND(K136/(1-(L136+M136)),2)</f>
        <v/>
      </c>
      <c r="P136" s="8" t="n">
        <v>44.34</v>
      </c>
      <c r="Q136" s="7">
        <f>IF(N136&lt;P136,"低于亚马逊",IF(N136&lt;P136*1.1,"接近亚马逊","高于亚马逊"))</f>
        <v/>
      </c>
      <c r="R136" s="8">
        <f>ROUND(N136*$B$12,2)</f>
        <v/>
      </c>
      <c r="S136" s="9">
        <f>(O136-N136)/O136</f>
        <v/>
      </c>
      <c r="T136" s="9">
        <f>(N136-K136)/N136</f>
        <v/>
      </c>
      <c r="U136" s="9">
        <f>(N136-K136)/N136-$B$4</f>
        <v/>
      </c>
      <c r="V136" s="7" t="inlineStr">
        <is>
          <t>已匹配</t>
        </is>
      </c>
    </row>
    <row r="137">
      <c r="A137" s="7" t="inlineStr">
        <is>
          <t>SHOP-00136</t>
        </is>
      </c>
      <c r="B137" s="7" t="inlineStr">
        <is>
          <t>宠物湿巾 V3</t>
        </is>
      </c>
      <c r="C137" s="7" t="inlineStr">
        <is>
          <t>PET-宠物-0136</t>
        </is>
      </c>
      <c r="D137" s="7" t="inlineStr">
        <is>
          <t>宠物出行</t>
        </is>
      </c>
      <c r="E137" s="7" t="n">
        <v>4</v>
      </c>
      <c r="F137" s="7" t="inlineStr">
        <is>
          <t>缺货</t>
        </is>
      </c>
      <c r="G137" s="8" t="n">
        <v>13.43</v>
      </c>
      <c r="H137" s="8" t="n">
        <v>8.970000000000001</v>
      </c>
      <c r="I137" s="8" t="n">
        <v>0</v>
      </c>
      <c r="J137" s="8" t="n">
        <v>0</v>
      </c>
      <c r="K137" s="8">
        <f>G137+H137+I137+J137</f>
        <v/>
      </c>
      <c r="L137" s="9">
        <f>$B$3</f>
        <v/>
      </c>
      <c r="M137" s="9">
        <f>$B$4</f>
        <v/>
      </c>
      <c r="N137" s="8">
        <f>K137/(1-(L137+M137))</f>
        <v/>
      </c>
      <c r="O137" s="8">
        <f>ROUND(K137/(1-(L137+M137)),2)</f>
        <v/>
      </c>
      <c r="P137" s="8" t="n">
        <v>43.35</v>
      </c>
      <c r="Q137" s="7">
        <f>IF(N137&lt;P137,"低于亚马逊",IF(N137&lt;P137*1.1,"接近亚马逊","高于亚马逊"))</f>
        <v/>
      </c>
      <c r="R137" s="8">
        <f>ROUND(N137*$B$12,2)</f>
        <v/>
      </c>
      <c r="S137" s="9">
        <f>(O137-N137)/O137</f>
        <v/>
      </c>
      <c r="T137" s="9">
        <f>(N137-K137)/N137</f>
        <v/>
      </c>
      <c r="U137" s="9">
        <f>(N137-K137)/N137-$B$4</f>
        <v/>
      </c>
      <c r="V137" s="7" t="inlineStr">
        <is>
          <t>已匹配</t>
        </is>
      </c>
    </row>
    <row r="138">
      <c r="A138" s="7" t="inlineStr">
        <is>
          <t>SHOP-00137</t>
        </is>
      </c>
      <c r="B138" s="7" t="inlineStr">
        <is>
          <t>宠物除臭喷雾 V3</t>
        </is>
      </c>
      <c r="C138" s="7" t="inlineStr">
        <is>
          <t>PET-宠物-0137</t>
        </is>
      </c>
      <c r="D138" s="7" t="inlineStr">
        <is>
          <t>宠物清洁</t>
        </is>
      </c>
      <c r="E138" s="7" t="n">
        <v>3</v>
      </c>
      <c r="F138" s="7" t="inlineStr">
        <is>
          <t>库存紧张</t>
        </is>
      </c>
      <c r="G138" s="8" t="n">
        <v>35.34</v>
      </c>
      <c r="H138" s="8" t="n">
        <v>15</v>
      </c>
      <c r="I138" s="8" t="n">
        <v>0</v>
      </c>
      <c r="J138" s="8" t="n">
        <v>0</v>
      </c>
      <c r="K138" s="8">
        <f>G138+H138+I138+J138</f>
        <v/>
      </c>
      <c r="L138" s="9">
        <f>$B$3</f>
        <v/>
      </c>
      <c r="M138" s="9">
        <f>$B$4</f>
        <v/>
      </c>
      <c r="N138" s="8">
        <f>K138/(1-(L138+M138))</f>
        <v/>
      </c>
      <c r="O138" s="8">
        <f>ROUND(K138/(1-(L138+M138)),2)</f>
        <v/>
      </c>
      <c r="P138" s="8" t="n">
        <v>92.51000000000001</v>
      </c>
      <c r="Q138" s="7">
        <f>IF(N138&lt;P138,"低于亚马逊",IF(N138&lt;P138*1.1,"接近亚马逊","高于亚马逊"))</f>
        <v/>
      </c>
      <c r="R138" s="8">
        <f>ROUND(N138*$B$12,2)</f>
        <v/>
      </c>
      <c r="S138" s="9">
        <f>(O138-N138)/O138</f>
        <v/>
      </c>
      <c r="T138" s="9">
        <f>(N138-K138)/N138</f>
        <v/>
      </c>
      <c r="U138" s="9">
        <f>(N138-K138)/N138-$B$4</f>
        <v/>
      </c>
      <c r="V138" s="7" t="inlineStr">
        <is>
          <t>已匹配</t>
        </is>
      </c>
    </row>
    <row r="139">
      <c r="A139" s="7" t="inlineStr">
        <is>
          <t>SHOP-00138</t>
        </is>
      </c>
      <c r="B139" s="7" t="inlineStr">
        <is>
          <t>宠物消毒湿巾 V3</t>
        </is>
      </c>
      <c r="C139" s="7" t="inlineStr">
        <is>
          <t>PET-宠物-0138</t>
        </is>
      </c>
      <c r="D139" s="7" t="inlineStr">
        <is>
          <t>宠物服饰</t>
        </is>
      </c>
      <c r="E139" s="7" t="n">
        <v>2</v>
      </c>
      <c r="F139" s="7" t="inlineStr">
        <is>
          <t>有货</t>
        </is>
      </c>
      <c r="G139" s="8" t="n">
        <v>15.5</v>
      </c>
      <c r="H139" s="8" t="n">
        <v>8.970000000000001</v>
      </c>
      <c r="I139" s="8" t="n">
        <v>0</v>
      </c>
      <c r="J139" s="8" t="n">
        <v>0</v>
      </c>
      <c r="K139" s="8">
        <f>G139+H139+I139+J139</f>
        <v/>
      </c>
      <c r="L139" s="9">
        <f>$B$3</f>
        <v/>
      </c>
      <c r="M139" s="9">
        <f>$B$4</f>
        <v/>
      </c>
      <c r="N139" s="8">
        <f>K139/(1-(L139+M139))</f>
        <v/>
      </c>
      <c r="O139" s="8">
        <f>ROUND(K139/(1-(L139+M139)),2)</f>
        <v/>
      </c>
      <c r="P139" s="8" t="n">
        <v>48.23</v>
      </c>
      <c r="Q139" s="7">
        <f>IF(N139&lt;P139,"低于亚马逊",IF(N139&lt;P139*1.1,"接近亚马逊","高于亚马逊"))</f>
        <v/>
      </c>
      <c r="R139" s="8">
        <f>ROUND(N139*$B$12,2)</f>
        <v/>
      </c>
      <c r="S139" s="9">
        <f>(O139-N139)/O139</f>
        <v/>
      </c>
      <c r="T139" s="9">
        <f>(N139-K139)/N139</f>
        <v/>
      </c>
      <c r="U139" s="9">
        <f>(N139-K139)/N139-$B$4</f>
        <v/>
      </c>
      <c r="V139" s="7" t="inlineStr">
        <is>
          <t>已匹配</t>
        </is>
      </c>
    </row>
    <row r="140">
      <c r="A140" s="7" t="inlineStr">
        <is>
          <t>SHOP-00139</t>
        </is>
      </c>
      <c r="B140" s="7" t="inlineStr">
        <is>
          <t>宠物粘毛器 V3</t>
        </is>
      </c>
      <c r="C140" s="7" t="inlineStr">
        <is>
          <t>PET-宠物-0139</t>
        </is>
      </c>
      <c r="D140" s="7" t="inlineStr">
        <is>
          <t>宠物美容</t>
        </is>
      </c>
      <c r="E140" s="7" t="n">
        <v>2</v>
      </c>
      <c r="F140" s="7" t="inlineStr">
        <is>
          <t>有货</t>
        </is>
      </c>
      <c r="G140" s="8" t="n">
        <v>25.9</v>
      </c>
      <c r="H140" s="8" t="n">
        <v>15</v>
      </c>
      <c r="I140" s="8" t="n">
        <v>0</v>
      </c>
      <c r="J140" s="8" t="n">
        <v>0</v>
      </c>
      <c r="K140" s="8">
        <f>G140+H140+I140+J140</f>
        <v/>
      </c>
      <c r="L140" s="9">
        <f>$B$3</f>
        <v/>
      </c>
      <c r="M140" s="9">
        <f>$B$4</f>
        <v/>
      </c>
      <c r="N140" s="8">
        <f>K140/(1-(L140+M140))</f>
        <v/>
      </c>
      <c r="O140" s="8">
        <f>ROUND(K140/(1-(L140+M140)),2)</f>
        <v/>
      </c>
      <c r="P140" s="8" t="n">
        <v>73</v>
      </c>
      <c r="Q140" s="7">
        <f>IF(N140&lt;P140,"低于亚马逊",IF(N140&lt;P140*1.1,"接近亚马逊","高于亚马逊"))</f>
        <v/>
      </c>
      <c r="R140" s="8">
        <f>ROUND(N140*$B$12,2)</f>
        <v/>
      </c>
      <c r="S140" s="9">
        <f>(O140-N140)/O140</f>
        <v/>
      </c>
      <c r="T140" s="9">
        <f>(N140-K140)/N140</f>
        <v/>
      </c>
      <c r="U140" s="9">
        <f>(N140-K140)/N140-$B$4</f>
        <v/>
      </c>
      <c r="V140" s="7" t="inlineStr">
        <is>
          <t>已匹配</t>
        </is>
      </c>
    </row>
    <row r="141">
      <c r="A141" s="7" t="inlineStr">
        <is>
          <t>SHOP-00140</t>
        </is>
      </c>
      <c r="B141" s="7" t="inlineStr">
        <is>
          <t>宠物吸毛器 V3</t>
        </is>
      </c>
      <c r="C141" s="7" t="inlineStr">
        <is>
          <t>PET-宠物-0140</t>
        </is>
      </c>
      <c r="D141" s="7" t="inlineStr">
        <is>
          <t>宠物玩具</t>
        </is>
      </c>
      <c r="E141" s="7" t="n">
        <v>2</v>
      </c>
      <c r="F141" s="7" t="inlineStr">
        <is>
          <t>有货</t>
        </is>
      </c>
      <c r="G141" s="8" t="n">
        <v>5.9</v>
      </c>
      <c r="H141" s="8" t="n">
        <v>6.44</v>
      </c>
      <c r="I141" s="8" t="n">
        <v>0</v>
      </c>
      <c r="J141" s="8" t="n">
        <v>0</v>
      </c>
      <c r="K141" s="8">
        <f>G141+H141+I141+J141</f>
        <v/>
      </c>
      <c r="L141" s="9">
        <f>$B$3</f>
        <v/>
      </c>
      <c r="M141" s="9">
        <f>$B$4</f>
        <v/>
      </c>
      <c r="N141" s="8">
        <f>K141/(1-(L141+M141))</f>
        <v/>
      </c>
      <c r="O141" s="8">
        <f>ROUND(K141/(1-(L141+M141)),2)</f>
        <v/>
      </c>
      <c r="P141" s="8" t="n">
        <v>14.79</v>
      </c>
      <c r="Q141" s="7">
        <f>IF(N141&lt;P141,"低于亚马逊",IF(N141&lt;P141*1.1,"接近亚马逊","高于亚马逊"))</f>
        <v/>
      </c>
      <c r="R141" s="8">
        <f>ROUND(N141*$B$12,2)</f>
        <v/>
      </c>
      <c r="S141" s="9">
        <f>(O141-N141)/O141</f>
        <v/>
      </c>
      <c r="T141" s="9">
        <f>(N141-K141)/N141</f>
        <v/>
      </c>
      <c r="U141" s="9">
        <f>(N141-K141)/N141-$B$4</f>
        <v/>
      </c>
      <c r="V141" s="7" t="inlineStr">
        <is>
          <t>已匹配</t>
        </is>
      </c>
    </row>
    <row r="142">
      <c r="A142" s="7" t="inlineStr">
        <is>
          <t>SHOP-00141</t>
        </is>
      </c>
      <c r="B142" s="7" t="inlineStr">
        <is>
          <t>宠物梳子套装 V3</t>
        </is>
      </c>
      <c r="C142" s="7" t="inlineStr">
        <is>
          <t>PET-宠物-0141</t>
        </is>
      </c>
      <c r="D142" s="7" t="inlineStr">
        <is>
          <t>宠物喂食</t>
        </is>
      </c>
      <c r="E142" s="7" t="n">
        <v>3</v>
      </c>
      <c r="F142" s="7" t="inlineStr">
        <is>
          <t>有货</t>
        </is>
      </c>
      <c r="G142" s="8" t="n">
        <v>35.41</v>
      </c>
      <c r="H142" s="8" t="n">
        <v>15</v>
      </c>
      <c r="I142" s="8" t="n">
        <v>0</v>
      </c>
      <c r="J142" s="8" t="n">
        <v>0</v>
      </c>
      <c r="K142" s="8">
        <f>G142+H142+I142+J142</f>
        <v/>
      </c>
      <c r="L142" s="9">
        <f>$B$3</f>
        <v/>
      </c>
      <c r="M142" s="9">
        <f>$B$4</f>
        <v/>
      </c>
      <c r="N142" s="8">
        <f>K142/(1-(L142+M142))</f>
        <v/>
      </c>
      <c r="O142" s="8">
        <f>ROUND(K142/(1-(L142+M142)),2)</f>
        <v/>
      </c>
      <c r="P142" s="8" t="n">
        <v>97.15000000000001</v>
      </c>
      <c r="Q142" s="7">
        <f>IF(N142&lt;P142,"低于亚马逊",IF(N142&lt;P142*1.1,"接近亚马逊","高于亚马逊"))</f>
        <v/>
      </c>
      <c r="R142" s="8">
        <f>ROUND(N142*$B$12,2)</f>
        <v/>
      </c>
      <c r="S142" s="9">
        <f>(O142-N142)/O142</f>
        <v/>
      </c>
      <c r="T142" s="9">
        <f>(N142-K142)/N142</f>
        <v/>
      </c>
      <c r="U142" s="9">
        <f>(N142-K142)/N142-$B$4</f>
        <v/>
      </c>
      <c r="V142" s="7" t="inlineStr">
        <is>
          <t>已匹配</t>
        </is>
      </c>
    </row>
    <row r="143">
      <c r="A143" s="7" t="inlineStr">
        <is>
          <t>SHOP-00142</t>
        </is>
      </c>
      <c r="B143" s="7" t="inlineStr">
        <is>
          <t>宠物剪刀套装 V3</t>
        </is>
      </c>
      <c r="C143" s="7" t="inlineStr">
        <is>
          <t>PET-宠物-0142</t>
        </is>
      </c>
      <c r="D143" s="7" t="inlineStr">
        <is>
          <t>宠物出行</t>
        </is>
      </c>
      <c r="E143" s="7" t="n">
        <v>1</v>
      </c>
      <c r="F143" s="7" t="inlineStr">
        <is>
          <t>有货</t>
        </is>
      </c>
      <c r="G143" s="8" t="n">
        <v>28.76</v>
      </c>
      <c r="H143" s="8" t="n">
        <v>15</v>
      </c>
      <c r="I143" s="8" t="n">
        <v>0</v>
      </c>
      <c r="J143" s="8" t="n">
        <v>0</v>
      </c>
      <c r="K143" s="8">
        <f>G143+H143+I143+J143</f>
        <v/>
      </c>
      <c r="L143" s="9">
        <f>$B$3</f>
        <v/>
      </c>
      <c r="M143" s="9">
        <f>$B$4</f>
        <v/>
      </c>
      <c r="N143" s="8">
        <f>K143/(1-(L143+M143))</f>
        <v/>
      </c>
      <c r="O143" s="8">
        <f>ROUND(K143/(1-(L143+M143)),2)</f>
        <v/>
      </c>
      <c r="P143" s="8" t="n">
        <v>83.16</v>
      </c>
      <c r="Q143" s="7">
        <f>IF(N143&lt;P143,"低于亚马逊",IF(N143&lt;P143*1.1,"接近亚马逊","高于亚马逊"))</f>
        <v/>
      </c>
      <c r="R143" s="8">
        <f>ROUND(N143*$B$12,2)</f>
        <v/>
      </c>
      <c r="S143" s="9">
        <f>(O143-N143)/O143</f>
        <v/>
      </c>
      <c r="T143" s="9">
        <f>(N143-K143)/N143</f>
        <v/>
      </c>
      <c r="U143" s="9">
        <f>(N143-K143)/N143-$B$4</f>
        <v/>
      </c>
      <c r="V143" s="7" t="inlineStr">
        <is>
          <t>已匹配</t>
        </is>
      </c>
    </row>
    <row r="144">
      <c r="A144" s="7" t="inlineStr">
        <is>
          <t>SHOP-00143</t>
        </is>
      </c>
      <c r="B144" s="7" t="inlineStr">
        <is>
          <t>宠物吹风机 V3</t>
        </is>
      </c>
      <c r="C144" s="7" t="inlineStr">
        <is>
          <t>PET-宠物-0143</t>
        </is>
      </c>
      <c r="D144" s="7" t="inlineStr">
        <is>
          <t>宠物清洁</t>
        </is>
      </c>
      <c r="E144" s="7" t="n">
        <v>2</v>
      </c>
      <c r="F144" s="7" t="inlineStr">
        <is>
          <t>有货</t>
        </is>
      </c>
      <c r="G144" s="8" t="n">
        <v>44.6</v>
      </c>
      <c r="H144" s="8" t="n">
        <v>15</v>
      </c>
      <c r="I144" s="8" t="n">
        <v>0</v>
      </c>
      <c r="J144" s="8" t="n">
        <v>0</v>
      </c>
      <c r="K144" s="8">
        <f>G144+H144+I144+J144</f>
        <v/>
      </c>
      <c r="L144" s="9">
        <f>$B$3</f>
        <v/>
      </c>
      <c r="M144" s="9">
        <f>$B$4</f>
        <v/>
      </c>
      <c r="N144" s="8">
        <f>K144/(1-(L144+M144))</f>
        <v/>
      </c>
      <c r="O144" s="8">
        <f>ROUND(K144/(1-(L144+M144)),2)</f>
        <v/>
      </c>
      <c r="P144" s="8" t="n">
        <v>109.9</v>
      </c>
      <c r="Q144" s="7">
        <f>IF(N144&lt;P144,"低于亚马逊",IF(N144&lt;P144*1.1,"接近亚马逊","高于亚马逊"))</f>
        <v/>
      </c>
      <c r="R144" s="8">
        <f>ROUND(N144*$B$12,2)</f>
        <v/>
      </c>
      <c r="S144" s="9">
        <f>(O144-N144)/O144</f>
        <v/>
      </c>
      <c r="T144" s="9">
        <f>(N144-K144)/N144</f>
        <v/>
      </c>
      <c r="U144" s="9">
        <f>(N144-K144)/N144-$B$4</f>
        <v/>
      </c>
      <c r="V144" s="7" t="inlineStr">
        <is>
          <t>已匹配</t>
        </is>
      </c>
    </row>
    <row r="145">
      <c r="A145" s="7" t="inlineStr">
        <is>
          <t>SHOP-00144</t>
        </is>
      </c>
      <c r="B145" s="7" t="inlineStr">
        <is>
          <t>宠物烘干箱 V3</t>
        </is>
      </c>
      <c r="C145" s="7" t="inlineStr">
        <is>
          <t>PET-宠物-0144</t>
        </is>
      </c>
      <c r="D145" s="7" t="inlineStr">
        <is>
          <t>宠物服饰</t>
        </is>
      </c>
      <c r="E145" s="7" t="n">
        <v>2</v>
      </c>
      <c r="F145" s="7" t="inlineStr">
        <is>
          <t>有货</t>
        </is>
      </c>
      <c r="G145" s="8" t="n">
        <v>10.12</v>
      </c>
      <c r="H145" s="8" t="n">
        <v>8.970000000000001</v>
      </c>
      <c r="I145" s="8" t="n">
        <v>0</v>
      </c>
      <c r="J145" s="8" t="n">
        <v>0</v>
      </c>
      <c r="K145" s="8">
        <f>G145+H145+I145+J145</f>
        <v/>
      </c>
      <c r="L145" s="9">
        <f>$B$3</f>
        <v/>
      </c>
      <c r="M145" s="9">
        <f>$B$4</f>
        <v/>
      </c>
      <c r="N145" s="8">
        <f>K145/(1-(L145+M145))</f>
        <v/>
      </c>
      <c r="O145" s="8">
        <f>ROUND(K145/(1-(L145+M145)),2)</f>
        <v/>
      </c>
      <c r="P145" s="8" t="n">
        <v>33.36</v>
      </c>
      <c r="Q145" s="7">
        <f>IF(N145&lt;P145,"低于亚马逊",IF(N145&lt;P145*1.1,"接近亚马逊","高于亚马逊"))</f>
        <v/>
      </c>
      <c r="R145" s="8">
        <f>ROUND(N145*$B$12,2)</f>
        <v/>
      </c>
      <c r="S145" s="9">
        <f>(O145-N145)/O145</f>
        <v/>
      </c>
      <c r="T145" s="9">
        <f>(N145-K145)/N145</f>
        <v/>
      </c>
      <c r="U145" s="9">
        <f>(N145-K145)/N145-$B$4</f>
        <v/>
      </c>
      <c r="V145" s="7" t="inlineStr">
        <is>
          <t>已匹配</t>
        </is>
      </c>
    </row>
    <row r="146">
      <c r="A146" s="7" t="inlineStr">
        <is>
          <t>SHOP-00145</t>
        </is>
      </c>
      <c r="B146" s="7" t="inlineStr">
        <is>
          <t>超声波宠物除毛刷 V4</t>
        </is>
      </c>
      <c r="C146" s="7" t="inlineStr">
        <is>
          <t>PET-宠物-0145</t>
        </is>
      </c>
      <c r="D146" s="7" t="inlineStr">
        <is>
          <t>宠物美容</t>
        </is>
      </c>
      <c r="E146" s="7" t="n">
        <v>1</v>
      </c>
      <c r="F146" s="7" t="inlineStr">
        <is>
          <t>库存紧张</t>
        </is>
      </c>
      <c r="G146" s="8" t="n">
        <v>41.89</v>
      </c>
      <c r="H146" s="8" t="n">
        <v>15</v>
      </c>
      <c r="I146" s="8" t="n">
        <v>0</v>
      </c>
      <c r="J146" s="8" t="n">
        <v>0</v>
      </c>
      <c r="K146" s="8">
        <f>G146+H146+I146+J146</f>
        <v/>
      </c>
      <c r="L146" s="9">
        <f>$B$3</f>
        <v/>
      </c>
      <c r="M146" s="9">
        <f>$B$4</f>
        <v/>
      </c>
      <c r="N146" s="8">
        <f>K146/(1-(L146+M146))</f>
        <v/>
      </c>
      <c r="O146" s="8">
        <f>ROUND(K146/(1-(L146+M146)),2)</f>
        <v/>
      </c>
      <c r="P146" s="8" t="n">
        <v>99.31</v>
      </c>
      <c r="Q146" s="7">
        <f>IF(N146&lt;P146,"低于亚马逊",IF(N146&lt;P146*1.1,"接近亚马逊","高于亚马逊"))</f>
        <v/>
      </c>
      <c r="R146" s="8">
        <f>ROUND(N146*$B$12,2)</f>
        <v/>
      </c>
      <c r="S146" s="9">
        <f>(O146-N146)/O146</f>
        <v/>
      </c>
      <c r="T146" s="9">
        <f>(N146-K146)/N146</f>
        <v/>
      </c>
      <c r="U146" s="9">
        <f>(N146-K146)/N146-$B$4</f>
        <v/>
      </c>
      <c r="V146" s="7" t="inlineStr">
        <is>
          <t>已匹配</t>
        </is>
      </c>
    </row>
    <row r="147">
      <c r="A147" s="7" t="inlineStr">
        <is>
          <t>SHOP-00146</t>
        </is>
      </c>
      <c r="B147" s="7" t="inlineStr">
        <is>
          <t>智能宠物饮水机 V4</t>
        </is>
      </c>
      <c r="C147" s="7" t="inlineStr">
        <is>
          <t>PET-宠物-0146</t>
        </is>
      </c>
      <c r="D147" s="7" t="inlineStr">
        <is>
          <t>宠物玩具</t>
        </is>
      </c>
      <c r="E147" s="7" t="n">
        <v>3</v>
      </c>
      <c r="F147" s="7" t="inlineStr">
        <is>
          <t>有货</t>
        </is>
      </c>
      <c r="G147" s="8" t="n">
        <v>12.29</v>
      </c>
      <c r="H147" s="8" t="n">
        <v>8.970000000000001</v>
      </c>
      <c r="I147" s="8" t="n">
        <v>0</v>
      </c>
      <c r="J147" s="8" t="n">
        <v>0</v>
      </c>
      <c r="K147" s="8">
        <f>G147+H147+I147+J147</f>
        <v/>
      </c>
      <c r="L147" s="9">
        <f>$B$3</f>
        <v/>
      </c>
      <c r="M147" s="9">
        <f>$B$4</f>
        <v/>
      </c>
      <c r="N147" s="8">
        <f>K147/(1-(L147+M147))</f>
        <v/>
      </c>
      <c r="O147" s="8">
        <f>ROUND(K147/(1-(L147+M147)),2)</f>
        <v/>
      </c>
      <c r="P147" s="8" t="n">
        <v>28.65</v>
      </c>
      <c r="Q147" s="7">
        <f>IF(N147&lt;P147,"低于亚马逊",IF(N147&lt;P147*1.1,"接近亚马逊","高于亚马逊"))</f>
        <v/>
      </c>
      <c r="R147" s="8">
        <f>ROUND(N147*$B$12,2)</f>
        <v/>
      </c>
      <c r="S147" s="9">
        <f>(O147-N147)/O147</f>
        <v/>
      </c>
      <c r="T147" s="9">
        <f>(N147-K147)/N147</f>
        <v/>
      </c>
      <c r="U147" s="9">
        <f>(N147-K147)/N147-$B$4</f>
        <v/>
      </c>
      <c r="V147" s="7" t="inlineStr">
        <is>
          <t>已匹配</t>
        </is>
      </c>
    </row>
    <row r="148">
      <c r="A148" s="7" t="inlineStr">
        <is>
          <t>SHOP-00147</t>
        </is>
      </c>
      <c r="B148" s="7" t="inlineStr">
        <is>
          <t>宠物便携折叠笼 V4</t>
        </is>
      </c>
      <c r="C148" s="7" t="inlineStr">
        <is>
          <t>PET-宠物-0147</t>
        </is>
      </c>
      <c r="D148" s="7" t="inlineStr">
        <is>
          <t>宠物喂食</t>
        </is>
      </c>
      <c r="E148" s="7" t="n">
        <v>2</v>
      </c>
      <c r="F148" s="7" t="inlineStr">
        <is>
          <t>有货</t>
        </is>
      </c>
      <c r="G148" s="8" t="n">
        <v>15.95</v>
      </c>
      <c r="H148" s="8" t="n">
        <v>8.970000000000001</v>
      </c>
      <c r="I148" s="8" t="n">
        <v>0</v>
      </c>
      <c r="J148" s="8" t="n">
        <v>0</v>
      </c>
      <c r="K148" s="8">
        <f>G148+H148+I148+J148</f>
        <v/>
      </c>
      <c r="L148" s="9">
        <f>$B$3</f>
        <v/>
      </c>
      <c r="M148" s="9">
        <f>$B$4</f>
        <v/>
      </c>
      <c r="N148" s="8">
        <f>K148/(1-(L148+M148))</f>
        <v/>
      </c>
      <c r="O148" s="8">
        <f>ROUND(K148/(1-(L148+M148)),2)</f>
        <v/>
      </c>
      <c r="P148" s="8" t="n">
        <v>48.13</v>
      </c>
      <c r="Q148" s="7">
        <f>IF(N148&lt;P148,"低于亚马逊",IF(N148&lt;P148*1.1,"接近亚马逊","高于亚马逊"))</f>
        <v/>
      </c>
      <c r="R148" s="8">
        <f>ROUND(N148*$B$12,2)</f>
        <v/>
      </c>
      <c r="S148" s="9">
        <f>(O148-N148)/O148</f>
        <v/>
      </c>
      <c r="T148" s="9">
        <f>(N148-K148)/N148</f>
        <v/>
      </c>
      <c r="U148" s="9">
        <f>(N148-K148)/N148-$B$4</f>
        <v/>
      </c>
      <c r="V148" s="7" t="inlineStr">
        <is>
          <t>已匹配</t>
        </is>
      </c>
    </row>
    <row r="149">
      <c r="A149" s="7" t="inlineStr">
        <is>
          <t>SHOP-00148</t>
        </is>
      </c>
      <c r="B149" s="7" t="inlineStr">
        <is>
          <t>宠物多功能护理包 V4</t>
        </is>
      </c>
      <c r="C149" s="7" t="inlineStr">
        <is>
          <t>PET-宠物-0148</t>
        </is>
      </c>
      <c r="D149" s="7" t="inlineStr">
        <is>
          <t>宠物出行</t>
        </is>
      </c>
      <c r="E149" s="7" t="n">
        <v>2</v>
      </c>
      <c r="F149" s="7" t="inlineStr">
        <is>
          <t>有货</t>
        </is>
      </c>
      <c r="G149" s="8" t="n">
        <v>11.18</v>
      </c>
      <c r="H149" s="8" t="n">
        <v>8.970000000000001</v>
      </c>
      <c r="I149" s="8" t="n">
        <v>0</v>
      </c>
      <c r="J149" s="8" t="n">
        <v>0</v>
      </c>
      <c r="K149" s="8">
        <f>G149+H149+I149+J149</f>
        <v/>
      </c>
      <c r="L149" s="9">
        <f>$B$3</f>
        <v/>
      </c>
      <c r="M149" s="9">
        <f>$B$4</f>
        <v/>
      </c>
      <c r="N149" s="8">
        <f>K149/(1-(L149+M149))</f>
        <v/>
      </c>
      <c r="O149" s="8">
        <f>ROUND(K149/(1-(L149+M149)),2)</f>
        <v/>
      </c>
      <c r="P149" s="8" t="n">
        <v>26.34</v>
      </c>
      <c r="Q149" s="7">
        <f>IF(N149&lt;P149,"低于亚马逊",IF(N149&lt;P149*1.1,"接近亚马逊","高于亚马逊"))</f>
        <v/>
      </c>
      <c r="R149" s="8">
        <f>ROUND(N149*$B$12,2)</f>
        <v/>
      </c>
      <c r="S149" s="9">
        <f>(O149-N149)/O149</f>
        <v/>
      </c>
      <c r="T149" s="9">
        <f>(N149-K149)/N149</f>
        <v/>
      </c>
      <c r="U149" s="9">
        <f>(N149-K149)/N149-$B$4</f>
        <v/>
      </c>
      <c r="V149" s="7" t="inlineStr">
        <is>
          <t>已匹配</t>
        </is>
      </c>
    </row>
    <row r="150">
      <c r="A150" s="7" t="inlineStr">
        <is>
          <t>SHOP-00149</t>
        </is>
      </c>
      <c r="B150" s="7" t="inlineStr">
        <is>
          <t>宠物GPS定位项圈 V4</t>
        </is>
      </c>
      <c r="C150" s="7" t="inlineStr">
        <is>
          <t>PET-宠物-0149</t>
        </is>
      </c>
      <c r="D150" s="7" t="inlineStr">
        <is>
          <t>宠物清洁</t>
        </is>
      </c>
      <c r="E150" s="7" t="n">
        <v>3</v>
      </c>
      <c r="F150" s="7" t="inlineStr">
        <is>
          <t>库存紧张</t>
        </is>
      </c>
      <c r="G150" s="8" t="n">
        <v>41.11</v>
      </c>
      <c r="H150" s="8" t="n">
        <v>15</v>
      </c>
      <c r="I150" s="8" t="n">
        <v>0</v>
      </c>
      <c r="J150" s="8" t="n">
        <v>0</v>
      </c>
      <c r="K150" s="8">
        <f>G150+H150+I150+J150</f>
        <v/>
      </c>
      <c r="L150" s="9">
        <f>$B$3</f>
        <v/>
      </c>
      <c r="M150" s="9">
        <f>$B$4</f>
        <v/>
      </c>
      <c r="N150" s="8">
        <f>K150/(1-(L150+M150))</f>
        <v/>
      </c>
      <c r="O150" s="8">
        <f>ROUND(K150/(1-(L150+M150)),2)</f>
        <v/>
      </c>
      <c r="P150" s="8" t="n">
        <v>123.29</v>
      </c>
      <c r="Q150" s="7">
        <f>IF(N150&lt;P150,"低于亚马逊",IF(N150&lt;P150*1.1,"接近亚马逊","高于亚马逊"))</f>
        <v/>
      </c>
      <c r="R150" s="8">
        <f>ROUND(N150*$B$12,2)</f>
        <v/>
      </c>
      <c r="S150" s="9">
        <f>(O150-N150)/O150</f>
        <v/>
      </c>
      <c r="T150" s="9">
        <f>(N150-K150)/N150</f>
        <v/>
      </c>
      <c r="U150" s="9">
        <f>(N150-K150)/N150-$B$4</f>
        <v/>
      </c>
      <c r="V150" s="7" t="inlineStr">
        <is>
          <t>已匹配</t>
        </is>
      </c>
    </row>
    <row r="151">
      <c r="A151" s="7" t="inlineStr">
        <is>
          <t>SHOP-00150</t>
        </is>
      </c>
      <c r="B151" s="7" t="inlineStr">
        <is>
          <t>宠物电动剃毛器 V4</t>
        </is>
      </c>
      <c r="C151" s="7" t="inlineStr">
        <is>
          <t>PET-宠物-0150</t>
        </is>
      </c>
      <c r="D151" s="7" t="inlineStr">
        <is>
          <t>宠物服饰</t>
        </is>
      </c>
      <c r="E151" s="7" t="n">
        <v>2</v>
      </c>
      <c r="F151" s="7" t="inlineStr">
        <is>
          <t>有货</t>
        </is>
      </c>
      <c r="G151" s="8" t="n">
        <v>13.73</v>
      </c>
      <c r="H151" s="8" t="n">
        <v>8.970000000000001</v>
      </c>
      <c r="I151" s="8" t="n">
        <v>0</v>
      </c>
      <c r="J151" s="8" t="n">
        <v>0</v>
      </c>
      <c r="K151" s="8">
        <f>G151+H151+I151+J151</f>
        <v/>
      </c>
      <c r="L151" s="9">
        <f>$B$3</f>
        <v/>
      </c>
      <c r="M151" s="9">
        <f>$B$4</f>
        <v/>
      </c>
      <c r="N151" s="8">
        <f>K151/(1-(L151+M151))</f>
        <v/>
      </c>
      <c r="O151" s="8">
        <f>ROUND(K151/(1-(L151+M151)),2)</f>
        <v/>
      </c>
      <c r="P151" s="8" t="n">
        <v>45.84</v>
      </c>
      <c r="Q151" s="7">
        <f>IF(N151&lt;P151,"低于亚马逊",IF(N151&lt;P151*1.1,"接近亚马逊","高于亚马逊"))</f>
        <v/>
      </c>
      <c r="R151" s="8">
        <f>ROUND(N151*$B$12,2)</f>
        <v/>
      </c>
      <c r="S151" s="9">
        <f>(O151-N151)/O151</f>
        <v/>
      </c>
      <c r="T151" s="9">
        <f>(N151-K151)/N151</f>
        <v/>
      </c>
      <c r="U151" s="9">
        <f>(N151-K151)/N151-$B$4</f>
        <v/>
      </c>
      <c r="V151" s="7" t="inlineStr">
        <is>
          <t>已匹配</t>
        </is>
      </c>
    </row>
    <row r="152">
      <c r="A152" s="7" t="inlineStr">
        <is>
          <t>SHOP-00151</t>
        </is>
      </c>
      <c r="B152" s="7" t="inlineStr">
        <is>
          <t>宠物自动喂食器 V4</t>
        </is>
      </c>
      <c r="C152" s="7" t="inlineStr">
        <is>
          <t>PET-宠物-0151</t>
        </is>
      </c>
      <c r="D152" s="7" t="inlineStr">
        <is>
          <t>宠物美容</t>
        </is>
      </c>
      <c r="E152" s="7" t="n">
        <v>4</v>
      </c>
      <c r="F152" s="7" t="inlineStr">
        <is>
          <t>缺货</t>
        </is>
      </c>
      <c r="G152" s="8" t="n">
        <v>23.1</v>
      </c>
      <c r="H152" s="8" t="n">
        <v>8.970000000000001</v>
      </c>
      <c r="I152" s="8" t="n">
        <v>0</v>
      </c>
      <c r="J152" s="8" t="n">
        <v>0</v>
      </c>
      <c r="K152" s="8">
        <f>G152+H152+I152+J152</f>
        <v/>
      </c>
      <c r="L152" s="9">
        <f>$B$3</f>
        <v/>
      </c>
      <c r="M152" s="9">
        <f>$B$4</f>
        <v/>
      </c>
      <c r="N152" s="8">
        <f>K152/(1-(L152+M152))</f>
        <v/>
      </c>
      <c r="O152" s="8">
        <f>ROUND(K152/(1-(L152+M152)),2)</f>
        <v/>
      </c>
      <c r="P152" s="8" t="n">
        <v>55.38</v>
      </c>
      <c r="Q152" s="7">
        <f>IF(N152&lt;P152,"低于亚马逊",IF(N152&lt;P152*1.1,"接近亚马逊","高于亚马逊"))</f>
        <v/>
      </c>
      <c r="R152" s="8">
        <f>ROUND(N152*$B$12,2)</f>
        <v/>
      </c>
      <c r="S152" s="9">
        <f>(O152-N152)/O152</f>
        <v/>
      </c>
      <c r="T152" s="9">
        <f>(N152-K152)/N152</f>
        <v/>
      </c>
      <c r="U152" s="9">
        <f>(N152-K152)/N152-$B$4</f>
        <v/>
      </c>
      <c r="V152" s="7" t="inlineStr">
        <is>
          <t>已匹配</t>
        </is>
      </c>
    </row>
    <row r="153">
      <c r="A153" s="7" t="inlineStr">
        <is>
          <t>SHOP-00152</t>
        </is>
      </c>
      <c r="B153" s="7" t="inlineStr">
        <is>
          <t>宠物外出牵引绳 V4</t>
        </is>
      </c>
      <c r="C153" s="7" t="inlineStr">
        <is>
          <t>PET-宠物-0152</t>
        </is>
      </c>
      <c r="D153" s="7" t="inlineStr">
        <is>
          <t>宠物玩具</t>
        </is>
      </c>
      <c r="E153" s="7" t="n">
        <v>1</v>
      </c>
      <c r="F153" s="7" t="inlineStr">
        <is>
          <t>有货</t>
        </is>
      </c>
      <c r="G153" s="8" t="n">
        <v>7.06</v>
      </c>
      <c r="H153" s="8" t="n">
        <v>6.44</v>
      </c>
      <c r="I153" s="8" t="n">
        <v>0</v>
      </c>
      <c r="J153" s="8" t="n">
        <v>0</v>
      </c>
      <c r="K153" s="8">
        <f>G153+H153+I153+J153</f>
        <v/>
      </c>
      <c r="L153" s="9">
        <f>$B$3</f>
        <v/>
      </c>
      <c r="M153" s="9">
        <f>$B$4</f>
        <v/>
      </c>
      <c r="N153" s="8">
        <f>K153/(1-(L153+M153))</f>
        <v/>
      </c>
      <c r="O153" s="8">
        <f>ROUND(K153/(1-(L153+M153)),2)</f>
        <v/>
      </c>
      <c r="P153" s="8" t="n">
        <v>16.43</v>
      </c>
      <c r="Q153" s="7">
        <f>IF(N153&lt;P153,"低于亚马逊",IF(N153&lt;P153*1.1,"接近亚马逊","高于亚马逊"))</f>
        <v/>
      </c>
      <c r="R153" s="8">
        <f>ROUND(N153*$B$12,2)</f>
        <v/>
      </c>
      <c r="S153" s="9">
        <f>(O153-N153)/O153</f>
        <v/>
      </c>
      <c r="T153" s="9">
        <f>(N153-K153)/N153</f>
        <v/>
      </c>
      <c r="U153" s="9">
        <f>(N153-K153)/N153-$B$4</f>
        <v/>
      </c>
      <c r="V153" s="7" t="inlineStr">
        <is>
          <t>已匹配</t>
        </is>
      </c>
    </row>
    <row r="154">
      <c r="A154" s="7" t="inlineStr">
        <is>
          <t>SHOP-00153</t>
        </is>
      </c>
      <c r="B154" s="7" t="inlineStr">
        <is>
          <t>宠物洗澡沐浴露套装 V4</t>
        </is>
      </c>
      <c r="C154" s="7" t="inlineStr">
        <is>
          <t>PET-宠物-0153</t>
        </is>
      </c>
      <c r="D154" s="7" t="inlineStr">
        <is>
          <t>宠物喂食</t>
        </is>
      </c>
      <c r="E154" s="7" t="n">
        <v>4</v>
      </c>
      <c r="F154" s="7" t="inlineStr">
        <is>
          <t>有货</t>
        </is>
      </c>
      <c r="G154" s="8" t="n">
        <v>28.92</v>
      </c>
      <c r="H154" s="8" t="n">
        <v>15</v>
      </c>
      <c r="I154" s="8" t="n">
        <v>0</v>
      </c>
      <c r="J154" s="8" t="n">
        <v>0</v>
      </c>
      <c r="K154" s="8">
        <f>G154+H154+I154+J154</f>
        <v/>
      </c>
      <c r="L154" s="9">
        <f>$B$3</f>
        <v/>
      </c>
      <c r="M154" s="9">
        <f>$B$4</f>
        <v/>
      </c>
      <c r="N154" s="8">
        <f>K154/(1-(L154+M154))</f>
        <v/>
      </c>
      <c r="O154" s="8">
        <f>ROUND(K154/(1-(L154+M154)),2)</f>
        <v/>
      </c>
      <c r="P154" s="8" t="n">
        <v>92.95999999999999</v>
      </c>
      <c r="Q154" s="7">
        <f>IF(N154&lt;P154,"低于亚马逊",IF(N154&lt;P154*1.1,"接近亚马逊","高于亚马逊"))</f>
        <v/>
      </c>
      <c r="R154" s="8">
        <f>ROUND(N154*$B$12,2)</f>
        <v/>
      </c>
      <c r="S154" s="9">
        <f>(O154-N154)/O154</f>
        <v/>
      </c>
      <c r="T154" s="9">
        <f>(N154-K154)/N154</f>
        <v/>
      </c>
      <c r="U154" s="9">
        <f>(N154-K154)/N154-$B$4</f>
        <v/>
      </c>
      <c r="V154" s="7" t="inlineStr">
        <is>
          <t>已匹配</t>
        </is>
      </c>
    </row>
    <row r="155">
      <c r="A155" s="7" t="inlineStr">
        <is>
          <t>SHOP-00154</t>
        </is>
      </c>
      <c r="B155" s="7" t="inlineStr">
        <is>
          <t>宠物保暖舒适窝 V4</t>
        </is>
      </c>
      <c r="C155" s="7" t="inlineStr">
        <is>
          <t>PET-宠物-0154</t>
        </is>
      </c>
      <c r="D155" s="7" t="inlineStr">
        <is>
          <t>宠物出行</t>
        </is>
      </c>
      <c r="E155" s="7" t="n">
        <v>4</v>
      </c>
      <c r="F155" s="7" t="inlineStr">
        <is>
          <t>有货</t>
        </is>
      </c>
      <c r="G155" s="8" t="n">
        <v>44.73</v>
      </c>
      <c r="H155" s="8" t="n">
        <v>15</v>
      </c>
      <c r="I155" s="8" t="n">
        <v>0</v>
      </c>
      <c r="J155" s="8" t="n">
        <v>0</v>
      </c>
      <c r="K155" s="8">
        <f>G155+H155+I155+J155</f>
        <v/>
      </c>
      <c r="L155" s="9">
        <f>$B$3</f>
        <v/>
      </c>
      <c r="M155" s="9">
        <f>$B$4</f>
        <v/>
      </c>
      <c r="N155" s="8">
        <f>K155/(1-(L155+M155))</f>
        <v/>
      </c>
      <c r="O155" s="8">
        <f>ROUND(K155/(1-(L155+M155)),2)</f>
        <v/>
      </c>
      <c r="P155" s="8" t="n">
        <v>142.27</v>
      </c>
      <c r="Q155" s="7">
        <f>IF(N155&lt;P155,"低于亚马逊",IF(N155&lt;P155*1.1,"接近亚马逊","高于亚马逊"))</f>
        <v/>
      </c>
      <c r="R155" s="8">
        <f>ROUND(N155*$B$12,2)</f>
        <v/>
      </c>
      <c r="S155" s="9">
        <f>(O155-N155)/O155</f>
        <v/>
      </c>
      <c r="T155" s="9">
        <f>(N155-K155)/N155</f>
        <v/>
      </c>
      <c r="U155" s="9">
        <f>(N155-K155)/N155-$B$4</f>
        <v/>
      </c>
      <c r="V155" s="7" t="inlineStr">
        <is>
          <t>已匹配</t>
        </is>
      </c>
    </row>
    <row r="156">
      <c r="A156" s="7" t="inlineStr">
        <is>
          <t>SHOP-00155</t>
        </is>
      </c>
      <c r="B156" s="7" t="inlineStr">
        <is>
          <t>宠物训练响片 V4</t>
        </is>
      </c>
      <c r="C156" s="7" t="inlineStr">
        <is>
          <t>PET-宠物-0155</t>
        </is>
      </c>
      <c r="D156" s="7" t="inlineStr">
        <is>
          <t>宠物清洁</t>
        </is>
      </c>
      <c r="E156" s="7" t="n">
        <v>2</v>
      </c>
      <c r="F156" s="7" t="inlineStr">
        <is>
          <t>有货</t>
        </is>
      </c>
      <c r="G156" s="8" t="n">
        <v>26.26</v>
      </c>
      <c r="H156" s="8" t="n">
        <v>15</v>
      </c>
      <c r="I156" s="8" t="n">
        <v>0</v>
      </c>
      <c r="J156" s="8" t="n">
        <v>0</v>
      </c>
      <c r="K156" s="8">
        <f>G156+H156+I156+J156</f>
        <v/>
      </c>
      <c r="L156" s="9">
        <f>$B$3</f>
        <v/>
      </c>
      <c r="M156" s="9">
        <f>$B$4</f>
        <v/>
      </c>
      <c r="N156" s="8">
        <f>K156/(1-(L156+M156))</f>
        <v/>
      </c>
      <c r="O156" s="8">
        <f>ROUND(K156/(1-(L156+M156)),2)</f>
        <v/>
      </c>
      <c r="P156" s="8" t="n">
        <v>72.59</v>
      </c>
      <c r="Q156" s="7">
        <f>IF(N156&lt;P156,"低于亚马逊",IF(N156&lt;P156*1.1,"接近亚马逊","高于亚马逊"))</f>
        <v/>
      </c>
      <c r="R156" s="8">
        <f>ROUND(N156*$B$12,2)</f>
        <v/>
      </c>
      <c r="S156" s="9">
        <f>(O156-N156)/O156</f>
        <v/>
      </c>
      <c r="T156" s="9">
        <f>(N156-K156)/N156</f>
        <v/>
      </c>
      <c r="U156" s="9">
        <f>(N156-K156)/N156-$B$4</f>
        <v/>
      </c>
      <c r="V156" s="7" t="inlineStr">
        <is>
          <t>已匹配</t>
        </is>
      </c>
    </row>
    <row r="157">
      <c r="A157" s="7" t="inlineStr">
        <is>
          <t>SHOP-00156</t>
        </is>
      </c>
      <c r="B157" s="7" t="inlineStr">
        <is>
          <t>宠物拾便器 V4</t>
        </is>
      </c>
      <c r="C157" s="7" t="inlineStr">
        <is>
          <t>PET-宠物-0156</t>
        </is>
      </c>
      <c r="D157" s="7" t="inlineStr">
        <is>
          <t>宠物服饰</t>
        </is>
      </c>
      <c r="E157" s="7" t="n">
        <v>4</v>
      </c>
      <c r="F157" s="7" t="inlineStr">
        <is>
          <t>有货</t>
        </is>
      </c>
      <c r="G157" s="8" t="n">
        <v>12.29</v>
      </c>
      <c r="H157" s="8" t="n">
        <v>8.970000000000001</v>
      </c>
      <c r="I157" s="8" t="n">
        <v>0</v>
      </c>
      <c r="J157" s="8" t="n">
        <v>0</v>
      </c>
      <c r="K157" s="8">
        <f>G157+H157+I157+J157</f>
        <v/>
      </c>
      <c r="L157" s="9">
        <f>$B$3</f>
        <v/>
      </c>
      <c r="M157" s="9">
        <f>$B$4</f>
        <v/>
      </c>
      <c r="N157" s="8">
        <f>K157/(1-(L157+M157))</f>
        <v/>
      </c>
      <c r="O157" s="8">
        <f>ROUND(K157/(1-(L157+M157)),2)</f>
        <v/>
      </c>
      <c r="P157" s="8" t="n">
        <v>40.42</v>
      </c>
      <c r="Q157" s="7">
        <f>IF(N157&lt;P157,"低于亚马逊",IF(N157&lt;P157*1.1,"接近亚马逊","高于亚马逊"))</f>
        <v/>
      </c>
      <c r="R157" s="8">
        <f>ROUND(N157*$B$12,2)</f>
        <v/>
      </c>
      <c r="S157" s="9">
        <f>(O157-N157)/O157</f>
        <v/>
      </c>
      <c r="T157" s="9">
        <f>(N157-K157)/N157</f>
        <v/>
      </c>
      <c r="U157" s="9">
        <f>(N157-K157)/N157-$B$4</f>
        <v/>
      </c>
      <c r="V157" s="7" t="inlineStr">
        <is>
          <t>已匹配</t>
        </is>
      </c>
    </row>
    <row r="158">
      <c r="A158" s="7" t="inlineStr">
        <is>
          <t>SHOP-00157</t>
        </is>
      </c>
      <c r="B158" s="7" t="inlineStr">
        <is>
          <t>宠物冰垫凉席 V4</t>
        </is>
      </c>
      <c r="C158" s="7" t="inlineStr">
        <is>
          <t>PET-宠物-0157</t>
        </is>
      </c>
      <c r="D158" s="7" t="inlineStr">
        <is>
          <t>宠物美容</t>
        </is>
      </c>
      <c r="E158" s="7" t="n">
        <v>1</v>
      </c>
      <c r="F158" s="7" t="inlineStr">
        <is>
          <t>缺货</t>
        </is>
      </c>
      <c r="G158" s="8" t="n">
        <v>19.66</v>
      </c>
      <c r="H158" s="8" t="n">
        <v>8.970000000000001</v>
      </c>
      <c r="I158" s="8" t="n">
        <v>0</v>
      </c>
      <c r="J158" s="8" t="n">
        <v>0</v>
      </c>
      <c r="K158" s="8">
        <f>G158+H158+I158+J158</f>
        <v/>
      </c>
      <c r="L158" s="9">
        <f>$B$3</f>
        <v/>
      </c>
      <c r="M158" s="9">
        <f>$B$4</f>
        <v/>
      </c>
      <c r="N158" s="8">
        <f>K158/(1-(L158+M158))</f>
        <v/>
      </c>
      <c r="O158" s="8">
        <f>ROUND(K158/(1-(L158+M158)),2)</f>
        <v/>
      </c>
      <c r="P158" s="8" t="n">
        <v>52.47</v>
      </c>
      <c r="Q158" s="7">
        <f>IF(N158&lt;P158,"低于亚马逊",IF(N158&lt;P158*1.1,"接近亚马逊","高于亚马逊"))</f>
        <v/>
      </c>
      <c r="R158" s="8">
        <f>ROUND(N158*$B$12,2)</f>
        <v/>
      </c>
      <c r="S158" s="9">
        <f>(O158-N158)/O158</f>
        <v/>
      </c>
      <c r="T158" s="9">
        <f>(N158-K158)/N158</f>
        <v/>
      </c>
      <c r="U158" s="9">
        <f>(N158-K158)/N158-$B$4</f>
        <v/>
      </c>
      <c r="V158" s="7" t="inlineStr">
        <is>
          <t>已匹配</t>
        </is>
      </c>
    </row>
    <row r="159">
      <c r="A159" s="7" t="inlineStr">
        <is>
          <t>SHOP-00158</t>
        </is>
      </c>
      <c r="B159" s="7" t="inlineStr">
        <is>
          <t>宠物磨牙玩具套装 V4</t>
        </is>
      </c>
      <c r="C159" s="7" t="inlineStr">
        <is>
          <t>PET-宠物-0158</t>
        </is>
      </c>
      <c r="D159" s="7" t="inlineStr">
        <is>
          <t>宠物玩具</t>
        </is>
      </c>
      <c r="E159" s="7" t="n">
        <v>4</v>
      </c>
      <c r="F159" s="7" t="inlineStr">
        <is>
          <t>有货</t>
        </is>
      </c>
      <c r="G159" s="8" t="n">
        <v>13.28</v>
      </c>
      <c r="H159" s="8" t="n">
        <v>8.970000000000001</v>
      </c>
      <c r="I159" s="8" t="n">
        <v>0</v>
      </c>
      <c r="J159" s="8" t="n">
        <v>0</v>
      </c>
      <c r="K159" s="8">
        <f>G159+H159+I159+J159</f>
        <v/>
      </c>
      <c r="L159" s="9">
        <f>$B$3</f>
        <v/>
      </c>
      <c r="M159" s="9">
        <f>$B$4</f>
        <v/>
      </c>
      <c r="N159" s="8">
        <f>K159/(1-(L159+M159))</f>
        <v/>
      </c>
      <c r="O159" s="8">
        <f>ROUND(K159/(1-(L159+M159)),2)</f>
        <v/>
      </c>
      <c r="P159" s="8" t="n">
        <v>37.05</v>
      </c>
      <c r="Q159" s="7">
        <f>IF(N159&lt;P159,"低于亚马逊",IF(N159&lt;P159*1.1,"接近亚马逊","高于亚马逊"))</f>
        <v/>
      </c>
      <c r="R159" s="8">
        <f>ROUND(N159*$B$12,2)</f>
        <v/>
      </c>
      <c r="S159" s="9">
        <f>(O159-N159)/O159</f>
        <v/>
      </c>
      <c r="T159" s="9">
        <f>(N159-K159)/N159</f>
        <v/>
      </c>
      <c r="U159" s="9">
        <f>(N159-K159)/N159-$B$4</f>
        <v/>
      </c>
      <c r="V159" s="7" t="inlineStr">
        <is>
          <t>已匹配</t>
        </is>
      </c>
    </row>
    <row r="160">
      <c r="A160" s="7" t="inlineStr">
        <is>
          <t>SHOP-00159</t>
        </is>
      </c>
      <c r="B160" s="7" t="inlineStr">
        <is>
          <t>宠物航空箱 V4</t>
        </is>
      </c>
      <c r="C160" s="7" t="inlineStr">
        <is>
          <t>PET-宠物-0159</t>
        </is>
      </c>
      <c r="D160" s="7" t="inlineStr">
        <is>
          <t>宠物喂食</t>
        </is>
      </c>
      <c r="E160" s="7" t="n">
        <v>3</v>
      </c>
      <c r="F160" s="7" t="inlineStr">
        <is>
          <t>有货</t>
        </is>
      </c>
      <c r="G160" s="8" t="n">
        <v>9.58</v>
      </c>
      <c r="H160" s="8" t="n">
        <v>6.44</v>
      </c>
      <c r="I160" s="8" t="n">
        <v>0</v>
      </c>
      <c r="J160" s="8" t="n">
        <v>0</v>
      </c>
      <c r="K160" s="8">
        <f>G160+H160+I160+J160</f>
        <v/>
      </c>
      <c r="L160" s="9">
        <f>$B$3</f>
        <v/>
      </c>
      <c r="M160" s="9">
        <f>$B$4</f>
        <v/>
      </c>
      <c r="N160" s="8">
        <f>K160/(1-(L160+M160))</f>
        <v/>
      </c>
      <c r="O160" s="8">
        <f>ROUND(K160/(1-(L160+M160)),2)</f>
        <v/>
      </c>
      <c r="P160" s="8" t="n">
        <v>23.58</v>
      </c>
      <c r="Q160" s="7">
        <f>IF(N160&lt;P160,"低于亚马逊",IF(N160&lt;P160*1.1,"接近亚马逊","高于亚马逊"))</f>
        <v/>
      </c>
      <c r="R160" s="8">
        <f>ROUND(N160*$B$12,2)</f>
        <v/>
      </c>
      <c r="S160" s="9">
        <f>(O160-N160)/O160</f>
        <v/>
      </c>
      <c r="T160" s="9">
        <f>(N160-K160)/N160</f>
        <v/>
      </c>
      <c r="U160" s="9">
        <f>(N160-K160)/N160-$B$4</f>
        <v/>
      </c>
      <c r="V160" s="7" t="inlineStr">
        <is>
          <t>已匹配</t>
        </is>
      </c>
    </row>
    <row r="161">
      <c r="A161" s="7" t="inlineStr">
        <is>
          <t>SHOP-00160</t>
        </is>
      </c>
      <c r="B161" s="7" t="inlineStr">
        <is>
          <t>宠物外出背包 V4</t>
        </is>
      </c>
      <c r="C161" s="7" t="inlineStr">
        <is>
          <t>PET-宠物-0160</t>
        </is>
      </c>
      <c r="D161" s="7" t="inlineStr">
        <is>
          <t>宠物出行</t>
        </is>
      </c>
      <c r="E161" s="7" t="n">
        <v>1</v>
      </c>
      <c r="F161" s="7" t="inlineStr">
        <is>
          <t>缺货</t>
        </is>
      </c>
      <c r="G161" s="8" t="n">
        <v>5.49</v>
      </c>
      <c r="H161" s="8" t="n">
        <v>6.44</v>
      </c>
      <c r="I161" s="8" t="n">
        <v>0</v>
      </c>
      <c r="J161" s="8" t="n">
        <v>0</v>
      </c>
      <c r="K161" s="8">
        <f>G161+H161+I161+J161</f>
        <v/>
      </c>
      <c r="L161" s="9">
        <f>$B$3</f>
        <v/>
      </c>
      <c r="M161" s="9">
        <f>$B$4</f>
        <v/>
      </c>
      <c r="N161" s="8">
        <f>K161/(1-(L161+M161))</f>
        <v/>
      </c>
      <c r="O161" s="8">
        <f>ROUND(K161/(1-(L161+M161)),2)</f>
        <v/>
      </c>
      <c r="P161" s="8" t="n">
        <v>16.39</v>
      </c>
      <c r="Q161" s="7">
        <f>IF(N161&lt;P161,"低于亚马逊",IF(N161&lt;P161*1.1,"接近亚马逊","高于亚马逊"))</f>
        <v/>
      </c>
      <c r="R161" s="8">
        <f>ROUND(N161*$B$12,2)</f>
        <v/>
      </c>
      <c r="S161" s="9">
        <f>(O161-N161)/O161</f>
        <v/>
      </c>
      <c r="T161" s="9">
        <f>(N161-K161)/N161</f>
        <v/>
      </c>
      <c r="U161" s="9">
        <f>(N161-K161)/N161-$B$4</f>
        <v/>
      </c>
      <c r="V161" s="7" t="inlineStr">
        <is>
          <t>已匹配</t>
        </is>
      </c>
    </row>
    <row r="162">
      <c r="A162" s="7" t="inlineStr">
        <is>
          <t>SHOP-00161</t>
        </is>
      </c>
      <c r="B162" s="7" t="inlineStr">
        <is>
          <t>宠物干洗喷雾 V4</t>
        </is>
      </c>
      <c r="C162" s="7" t="inlineStr">
        <is>
          <t>PET-宠物-0161</t>
        </is>
      </c>
      <c r="D162" s="7" t="inlineStr">
        <is>
          <t>宠物清洁</t>
        </is>
      </c>
      <c r="E162" s="7" t="n">
        <v>2</v>
      </c>
      <c r="F162" s="7" t="inlineStr">
        <is>
          <t>库存紧张</t>
        </is>
      </c>
      <c r="G162" s="8" t="n">
        <v>18.03</v>
      </c>
      <c r="H162" s="8" t="n">
        <v>8.970000000000001</v>
      </c>
      <c r="I162" s="8" t="n">
        <v>0</v>
      </c>
      <c r="J162" s="8" t="n">
        <v>0</v>
      </c>
      <c r="K162" s="8">
        <f>G162+H162+I162+J162</f>
        <v/>
      </c>
      <c r="L162" s="9">
        <f>$B$3</f>
        <v/>
      </c>
      <c r="M162" s="9">
        <f>$B$4</f>
        <v/>
      </c>
      <c r="N162" s="8">
        <f>K162/(1-(L162+M162))</f>
        <v/>
      </c>
      <c r="O162" s="8">
        <f>ROUND(K162/(1-(L162+M162)),2)</f>
        <v/>
      </c>
      <c r="P162" s="8" t="n">
        <v>55.75</v>
      </c>
      <c r="Q162" s="7">
        <f>IF(N162&lt;P162,"低于亚马逊",IF(N162&lt;P162*1.1,"接近亚马逊","高于亚马逊"))</f>
        <v/>
      </c>
      <c r="R162" s="8">
        <f>ROUND(N162*$B$12,2)</f>
        <v/>
      </c>
      <c r="S162" s="9">
        <f>(O162-N162)/O162</f>
        <v/>
      </c>
      <c r="T162" s="9">
        <f>(N162-K162)/N162</f>
        <v/>
      </c>
      <c r="U162" s="9">
        <f>(N162-K162)/N162-$B$4</f>
        <v/>
      </c>
      <c r="V162" s="7" t="inlineStr">
        <is>
          <t>已匹配</t>
        </is>
      </c>
    </row>
    <row r="163">
      <c r="A163" s="7" t="inlineStr">
        <is>
          <t>SHOP-00162</t>
        </is>
      </c>
      <c r="B163" s="7" t="inlineStr">
        <is>
          <t>宠物指甲剪套装 V4</t>
        </is>
      </c>
      <c r="C163" s="7" t="inlineStr">
        <is>
          <t>PET-宠物-0162</t>
        </is>
      </c>
      <c r="D163" s="7" t="inlineStr">
        <is>
          <t>宠物服饰</t>
        </is>
      </c>
      <c r="E163" s="7" t="n">
        <v>2</v>
      </c>
      <c r="F163" s="7" t="inlineStr">
        <is>
          <t>库存紧张</t>
        </is>
      </c>
      <c r="G163" s="8" t="n">
        <v>13.22</v>
      </c>
      <c r="H163" s="8" t="n">
        <v>8.970000000000001</v>
      </c>
      <c r="I163" s="8" t="n">
        <v>0</v>
      </c>
      <c r="J163" s="8" t="n">
        <v>0</v>
      </c>
      <c r="K163" s="8">
        <f>G163+H163+I163+J163</f>
        <v/>
      </c>
      <c r="L163" s="9">
        <f>$B$3</f>
        <v/>
      </c>
      <c r="M163" s="9">
        <f>$B$4</f>
        <v/>
      </c>
      <c r="N163" s="8">
        <f>K163/(1-(L163+M163))</f>
        <v/>
      </c>
      <c r="O163" s="8">
        <f>ROUND(K163/(1-(L163+M163)),2)</f>
        <v/>
      </c>
      <c r="P163" s="8" t="n">
        <v>41.78</v>
      </c>
      <c r="Q163" s="7">
        <f>IF(N163&lt;P163,"低于亚马逊",IF(N163&lt;P163*1.1,"接近亚马逊","高于亚马逊"))</f>
        <v/>
      </c>
      <c r="R163" s="8">
        <f>ROUND(N163*$B$12,2)</f>
        <v/>
      </c>
      <c r="S163" s="9">
        <f>(O163-N163)/O163</f>
        <v/>
      </c>
      <c r="T163" s="9">
        <f>(N163-K163)/N163</f>
        <v/>
      </c>
      <c r="U163" s="9">
        <f>(N163-K163)/N163-$B$4</f>
        <v/>
      </c>
      <c r="V163" s="7" t="inlineStr">
        <is>
          <t>已匹配</t>
        </is>
      </c>
    </row>
    <row r="164">
      <c r="A164" s="7" t="inlineStr">
        <is>
          <t>SHOP-00163</t>
        </is>
      </c>
      <c r="B164" s="7" t="inlineStr">
        <is>
          <t>宠物体温计 V4</t>
        </is>
      </c>
      <c r="C164" s="7" t="inlineStr">
        <is>
          <t>PET-宠物-0163</t>
        </is>
      </c>
      <c r="D164" s="7" t="inlineStr">
        <is>
          <t>宠物美容</t>
        </is>
      </c>
      <c r="E164" s="7" t="n">
        <v>4</v>
      </c>
      <c r="F164" s="7" t="inlineStr">
        <is>
          <t>有货</t>
        </is>
      </c>
      <c r="G164" s="8" t="n">
        <v>37.55</v>
      </c>
      <c r="H164" s="8" t="n">
        <v>15</v>
      </c>
      <c r="I164" s="8" t="n">
        <v>0</v>
      </c>
      <c r="J164" s="8" t="n">
        <v>0</v>
      </c>
      <c r="K164" s="8">
        <f>G164+H164+I164+J164</f>
        <v/>
      </c>
      <c r="L164" s="9">
        <f>$B$3</f>
        <v/>
      </c>
      <c r="M164" s="9">
        <f>$B$4</f>
        <v/>
      </c>
      <c r="N164" s="8">
        <f>K164/(1-(L164+M164))</f>
        <v/>
      </c>
      <c r="O164" s="8">
        <f>ROUND(K164/(1-(L164+M164)),2)</f>
        <v/>
      </c>
      <c r="P164" s="8" t="n">
        <v>119.83</v>
      </c>
      <c r="Q164" s="7">
        <f>IF(N164&lt;P164,"低于亚马逊",IF(N164&lt;P164*1.1,"接近亚马逊","高于亚马逊"))</f>
        <v/>
      </c>
      <c r="R164" s="8">
        <f>ROUND(N164*$B$12,2)</f>
        <v/>
      </c>
      <c r="S164" s="9">
        <f>(O164-N164)/O164</f>
        <v/>
      </c>
      <c r="T164" s="9">
        <f>(N164-K164)/N164</f>
        <v/>
      </c>
      <c r="U164" s="9">
        <f>(N164-K164)/N164-$B$4</f>
        <v/>
      </c>
      <c r="V164" s="7" t="inlineStr">
        <is>
          <t>已匹配</t>
        </is>
      </c>
    </row>
    <row r="165">
      <c r="A165" s="7" t="inlineStr">
        <is>
          <t>SHOP-00164</t>
        </is>
      </c>
      <c r="B165" s="7" t="inlineStr">
        <is>
          <t>宠物牙刷牙膏套装 V4</t>
        </is>
      </c>
      <c r="C165" s="7" t="inlineStr">
        <is>
          <t>PET-宠物-0164</t>
        </is>
      </c>
      <c r="D165" s="7" t="inlineStr">
        <is>
          <t>宠物玩具</t>
        </is>
      </c>
      <c r="E165" s="7" t="n">
        <v>2</v>
      </c>
      <c r="F165" s="7" t="inlineStr">
        <is>
          <t>有货</t>
        </is>
      </c>
      <c r="G165" s="8" t="n">
        <v>24.42</v>
      </c>
      <c r="H165" s="8" t="n">
        <v>8.970000000000001</v>
      </c>
      <c r="I165" s="8" t="n">
        <v>0</v>
      </c>
      <c r="J165" s="8" t="n">
        <v>0</v>
      </c>
      <c r="K165" s="8">
        <f>G165+H165+I165+J165</f>
        <v/>
      </c>
      <c r="L165" s="9">
        <f>$B$3</f>
        <v/>
      </c>
      <c r="M165" s="9">
        <f>$B$4</f>
        <v/>
      </c>
      <c r="N165" s="8">
        <f>K165/(1-(L165+M165))</f>
        <v/>
      </c>
      <c r="O165" s="8">
        <f>ROUND(K165/(1-(L165+M165)),2)</f>
        <v/>
      </c>
      <c r="P165" s="8" t="n">
        <v>62.59</v>
      </c>
      <c r="Q165" s="7">
        <f>IF(N165&lt;P165,"低于亚马逊",IF(N165&lt;P165*1.1,"接近亚马逊","高于亚马逊"))</f>
        <v/>
      </c>
      <c r="R165" s="8">
        <f>ROUND(N165*$B$12,2)</f>
        <v/>
      </c>
      <c r="S165" s="9">
        <f>(O165-N165)/O165</f>
        <v/>
      </c>
      <c r="T165" s="9">
        <f>(N165-K165)/N165</f>
        <v/>
      </c>
      <c r="U165" s="9">
        <f>(N165-K165)/N165-$B$4</f>
        <v/>
      </c>
      <c r="V165" s="7" t="inlineStr">
        <is>
          <t>已匹配</t>
        </is>
      </c>
    </row>
    <row r="166">
      <c r="A166" s="7" t="inlineStr">
        <is>
          <t>SHOP-00165</t>
        </is>
      </c>
      <c r="B166" s="7" t="inlineStr">
        <is>
          <t>宠物胸背带 V4</t>
        </is>
      </c>
      <c r="C166" s="7" t="inlineStr">
        <is>
          <t>PET-宠物-0165</t>
        </is>
      </c>
      <c r="D166" s="7" t="inlineStr">
        <is>
          <t>宠物喂食</t>
        </is>
      </c>
      <c r="E166" s="7" t="n">
        <v>2</v>
      </c>
      <c r="F166" s="7" t="inlineStr">
        <is>
          <t>缺货</t>
        </is>
      </c>
      <c r="G166" s="8" t="n">
        <v>38.39</v>
      </c>
      <c r="H166" s="8" t="n">
        <v>15</v>
      </c>
      <c r="I166" s="8" t="n">
        <v>0</v>
      </c>
      <c r="J166" s="8" t="n">
        <v>0</v>
      </c>
      <c r="K166" s="8">
        <f>G166+H166+I166+J166</f>
        <v/>
      </c>
      <c r="L166" s="9">
        <f>$B$3</f>
        <v/>
      </c>
      <c r="M166" s="9">
        <f>$B$4</f>
        <v/>
      </c>
      <c r="N166" s="8">
        <f>K166/(1-(L166+M166))</f>
        <v/>
      </c>
      <c r="O166" s="8">
        <f>ROUND(K166/(1-(L166+M166)),2)</f>
        <v/>
      </c>
      <c r="P166" s="8" t="n">
        <v>121.46</v>
      </c>
      <c r="Q166" s="7">
        <f>IF(N166&lt;P166,"低于亚马逊",IF(N166&lt;P166*1.1,"接近亚马逊","高于亚马逊"))</f>
        <v/>
      </c>
      <c r="R166" s="8">
        <f>ROUND(N166*$B$12,2)</f>
        <v/>
      </c>
      <c r="S166" s="9">
        <f>(O166-N166)/O166</f>
        <v/>
      </c>
      <c r="T166" s="9">
        <f>(N166-K166)/N166</f>
        <v/>
      </c>
      <c r="U166" s="9">
        <f>(N166-K166)/N166-$B$4</f>
        <v/>
      </c>
      <c r="V166" s="7" t="inlineStr">
        <is>
          <t>已匹配</t>
        </is>
      </c>
    </row>
    <row r="167">
      <c r="A167" s="7" t="inlineStr">
        <is>
          <t>SHOP-00166</t>
        </is>
      </c>
      <c r="B167" s="7" t="inlineStr">
        <is>
          <t>宠物雨衣套装 V4</t>
        </is>
      </c>
      <c r="C167" s="7" t="inlineStr">
        <is>
          <t>PET-宠物-0166</t>
        </is>
      </c>
      <c r="D167" s="7" t="inlineStr">
        <is>
          <t>宠物出行</t>
        </is>
      </c>
      <c r="E167" s="7" t="n">
        <v>1</v>
      </c>
      <c r="F167" s="7" t="inlineStr">
        <is>
          <t>缺货</t>
        </is>
      </c>
      <c r="G167" s="8" t="n">
        <v>37.91</v>
      </c>
      <c r="H167" s="8" t="n">
        <v>15</v>
      </c>
      <c r="I167" s="8" t="n">
        <v>0</v>
      </c>
      <c r="J167" s="8" t="n">
        <v>0</v>
      </c>
      <c r="K167" s="8">
        <f>G167+H167+I167+J167</f>
        <v/>
      </c>
      <c r="L167" s="9">
        <f>$B$3</f>
        <v/>
      </c>
      <c r="M167" s="9">
        <f>$B$4</f>
        <v/>
      </c>
      <c r="N167" s="8">
        <f>K167/(1-(L167+M167))</f>
        <v/>
      </c>
      <c r="O167" s="8">
        <f>ROUND(K167/(1-(L167+M167)),2)</f>
        <v/>
      </c>
      <c r="P167" s="8" t="n">
        <v>119.17</v>
      </c>
      <c r="Q167" s="7">
        <f>IF(N167&lt;P167,"低于亚马逊",IF(N167&lt;P167*1.1,"接近亚马逊","高于亚马逊"))</f>
        <v/>
      </c>
      <c r="R167" s="8">
        <f>ROUND(N167*$B$12,2)</f>
        <v/>
      </c>
      <c r="S167" s="9">
        <f>(O167-N167)/O167</f>
        <v/>
      </c>
      <c r="T167" s="9">
        <f>(N167-K167)/N167</f>
        <v/>
      </c>
      <c r="U167" s="9">
        <f>(N167-K167)/N167-$B$4</f>
        <v/>
      </c>
      <c r="V167" s="7" t="inlineStr">
        <is>
          <t>已匹配</t>
        </is>
      </c>
    </row>
    <row r="168">
      <c r="A168" s="7" t="inlineStr">
        <is>
          <t>SHOP-00167</t>
        </is>
      </c>
      <c r="B168" s="7" t="inlineStr">
        <is>
          <t>宠物门栏围栏 V4</t>
        </is>
      </c>
      <c r="C168" s="7" t="inlineStr">
        <is>
          <t>PET-宠物-0167</t>
        </is>
      </c>
      <c r="D168" s="7" t="inlineStr">
        <is>
          <t>宠物清洁</t>
        </is>
      </c>
      <c r="E168" s="7" t="n">
        <v>2</v>
      </c>
      <c r="F168" s="7" t="inlineStr">
        <is>
          <t>有货</t>
        </is>
      </c>
      <c r="G168" s="8" t="n">
        <v>36.57</v>
      </c>
      <c r="H168" s="8" t="n">
        <v>15</v>
      </c>
      <c r="I168" s="8" t="n">
        <v>0</v>
      </c>
      <c r="J168" s="8" t="n">
        <v>0</v>
      </c>
      <c r="K168" s="8">
        <f>G168+H168+I168+J168</f>
        <v/>
      </c>
      <c r="L168" s="9">
        <f>$B$3</f>
        <v/>
      </c>
      <c r="M168" s="9">
        <f>$B$4</f>
        <v/>
      </c>
      <c r="N168" s="8">
        <f>K168/(1-(L168+M168))</f>
        <v/>
      </c>
      <c r="O168" s="8">
        <f>ROUND(K168/(1-(L168+M168)),2)</f>
        <v/>
      </c>
      <c r="P168" s="8" t="n">
        <v>87.84999999999999</v>
      </c>
      <c r="Q168" s="7">
        <f>IF(N168&lt;P168,"低于亚马逊",IF(N168&lt;P168*1.1,"接近亚马逊","高于亚马逊"))</f>
        <v/>
      </c>
      <c r="R168" s="8">
        <f>ROUND(N168*$B$12,2)</f>
        <v/>
      </c>
      <c r="S168" s="9">
        <f>(O168-N168)/O168</f>
        <v/>
      </c>
      <c r="T168" s="9">
        <f>(N168-K168)/N168</f>
        <v/>
      </c>
      <c r="U168" s="9">
        <f>(N168-K168)/N168-$B$4</f>
        <v/>
      </c>
      <c r="V168" s="7" t="inlineStr">
        <is>
          <t>已匹配</t>
        </is>
      </c>
    </row>
    <row r="169">
      <c r="A169" s="7" t="inlineStr">
        <is>
          <t>SHOP-00168</t>
        </is>
      </c>
      <c r="B169" s="7" t="inlineStr">
        <is>
          <t>宠物床铺垫子 V4</t>
        </is>
      </c>
      <c r="C169" s="7" t="inlineStr">
        <is>
          <t>PET-宠物-0168</t>
        </is>
      </c>
      <c r="D169" s="7" t="inlineStr">
        <is>
          <t>宠物服饰</t>
        </is>
      </c>
      <c r="E169" s="7" t="n">
        <v>4</v>
      </c>
      <c r="F169" s="7" t="inlineStr">
        <is>
          <t>有货</t>
        </is>
      </c>
      <c r="G169" s="8" t="n">
        <v>33.85</v>
      </c>
      <c r="H169" s="8" t="n">
        <v>15</v>
      </c>
      <c r="I169" s="8" t="n">
        <v>0</v>
      </c>
      <c r="J169" s="8" t="n">
        <v>0</v>
      </c>
      <c r="K169" s="8">
        <f>G169+H169+I169+J169</f>
        <v/>
      </c>
      <c r="L169" s="9">
        <f>$B$3</f>
        <v/>
      </c>
      <c r="M169" s="9">
        <f>$B$4</f>
        <v/>
      </c>
      <c r="N169" s="8">
        <f>K169/(1-(L169+M169))</f>
        <v/>
      </c>
      <c r="O169" s="8">
        <f>ROUND(K169/(1-(L169+M169)),2)</f>
        <v/>
      </c>
      <c r="P169" s="8" t="n">
        <v>95.79000000000001</v>
      </c>
      <c r="Q169" s="7">
        <f>IF(N169&lt;P169,"低于亚马逊",IF(N169&lt;P169*1.1,"接近亚马逊","高于亚马逊"))</f>
        <v/>
      </c>
      <c r="R169" s="8">
        <f>ROUND(N169*$B$12,2)</f>
        <v/>
      </c>
      <c r="S169" s="9">
        <f>(O169-N169)/O169</f>
        <v/>
      </c>
      <c r="T169" s="9">
        <f>(N169-K169)/N169</f>
        <v/>
      </c>
      <c r="U169" s="9">
        <f>(N169-K169)/N169-$B$4</f>
        <v/>
      </c>
      <c r="V169" s="7" t="inlineStr">
        <is>
          <t>已匹配</t>
        </is>
      </c>
    </row>
    <row r="170">
      <c r="A170" s="7" t="inlineStr">
        <is>
          <t>SHOP-00169</t>
        </is>
      </c>
      <c r="B170" s="7" t="inlineStr">
        <is>
          <t>宠物喂食碗套装 V4</t>
        </is>
      </c>
      <c r="C170" s="7" t="inlineStr">
        <is>
          <t>PET-宠物-0169</t>
        </is>
      </c>
      <c r="D170" s="7" t="inlineStr">
        <is>
          <t>宠物美容</t>
        </is>
      </c>
      <c r="E170" s="7" t="n">
        <v>4</v>
      </c>
      <c r="F170" s="7" t="inlineStr">
        <is>
          <t>有货</t>
        </is>
      </c>
      <c r="G170" s="8" t="n">
        <v>41.6</v>
      </c>
      <c r="H170" s="8" t="n">
        <v>15</v>
      </c>
      <c r="I170" s="8" t="n">
        <v>0</v>
      </c>
      <c r="J170" s="8" t="n">
        <v>0</v>
      </c>
      <c r="K170" s="8">
        <f>G170+H170+I170+J170</f>
        <v/>
      </c>
      <c r="L170" s="9">
        <f>$B$3</f>
        <v/>
      </c>
      <c r="M170" s="9">
        <f>$B$4</f>
        <v/>
      </c>
      <c r="N170" s="8">
        <f>K170/(1-(L170+M170))</f>
        <v/>
      </c>
      <c r="O170" s="8">
        <f>ROUND(K170/(1-(L170+M170)),2)</f>
        <v/>
      </c>
      <c r="P170" s="8" t="n">
        <v>117.92</v>
      </c>
      <c r="Q170" s="7">
        <f>IF(N170&lt;P170,"低于亚马逊",IF(N170&lt;P170*1.1,"接近亚马逊","高于亚马逊"))</f>
        <v/>
      </c>
      <c r="R170" s="8">
        <f>ROUND(N170*$B$12,2)</f>
        <v/>
      </c>
      <c r="S170" s="9">
        <f>(O170-N170)/O170</f>
        <v/>
      </c>
      <c r="T170" s="9">
        <f>(N170-K170)/N170</f>
        <v/>
      </c>
      <c r="U170" s="9">
        <f>(N170-K170)/N170-$B$4</f>
        <v/>
      </c>
      <c r="V170" s="7" t="inlineStr">
        <is>
          <t>已匹配</t>
        </is>
      </c>
    </row>
    <row r="171">
      <c r="A171" s="7" t="inlineStr">
        <is>
          <t>SHOP-00170</t>
        </is>
      </c>
      <c r="B171" s="7" t="inlineStr">
        <is>
          <t>宠物饮水瓶 V4</t>
        </is>
      </c>
      <c r="C171" s="7" t="inlineStr">
        <is>
          <t>PET-宠物-0170</t>
        </is>
      </c>
      <c r="D171" s="7" t="inlineStr">
        <is>
          <t>宠物玩具</t>
        </is>
      </c>
      <c r="E171" s="7" t="n">
        <v>3</v>
      </c>
      <c r="F171" s="7" t="inlineStr">
        <is>
          <t>库存紧张</t>
        </is>
      </c>
      <c r="G171" s="8" t="n">
        <v>16.43</v>
      </c>
      <c r="H171" s="8" t="n">
        <v>8.970000000000001</v>
      </c>
      <c r="I171" s="8" t="n">
        <v>0</v>
      </c>
      <c r="J171" s="8" t="n">
        <v>0</v>
      </c>
      <c r="K171" s="8">
        <f>G171+H171+I171+J171</f>
        <v/>
      </c>
      <c r="L171" s="9">
        <f>$B$3</f>
        <v/>
      </c>
      <c r="M171" s="9">
        <f>$B$4</f>
        <v/>
      </c>
      <c r="N171" s="8">
        <f>K171/(1-(L171+M171))</f>
        <v/>
      </c>
      <c r="O171" s="8">
        <f>ROUND(K171/(1-(L171+M171)),2)</f>
        <v/>
      </c>
      <c r="P171" s="8" t="n">
        <v>46.47</v>
      </c>
      <c r="Q171" s="7">
        <f>IF(N171&lt;P171,"低于亚马逊",IF(N171&lt;P171*1.1,"接近亚马逊","高于亚马逊"))</f>
        <v/>
      </c>
      <c r="R171" s="8">
        <f>ROUND(N171*$B$12,2)</f>
        <v/>
      </c>
      <c r="S171" s="9">
        <f>(O171-N171)/O171</f>
        <v/>
      </c>
      <c r="T171" s="9">
        <f>(N171-K171)/N171</f>
        <v/>
      </c>
      <c r="U171" s="9">
        <f>(N171-K171)/N171-$B$4</f>
        <v/>
      </c>
      <c r="V171" s="7" t="inlineStr">
        <is>
          <t>已匹配</t>
        </is>
      </c>
    </row>
    <row r="172">
      <c r="A172" s="7" t="inlineStr">
        <is>
          <t>SHOP-00171</t>
        </is>
      </c>
      <c r="B172" s="7" t="inlineStr">
        <is>
          <t>宠物零食袋 V4</t>
        </is>
      </c>
      <c r="C172" s="7" t="inlineStr">
        <is>
          <t>PET-宠物-0171</t>
        </is>
      </c>
      <c r="D172" s="7" t="inlineStr">
        <is>
          <t>宠物喂食</t>
        </is>
      </c>
      <c r="E172" s="7" t="n">
        <v>2</v>
      </c>
      <c r="F172" s="7" t="inlineStr">
        <is>
          <t>有货</t>
        </is>
      </c>
      <c r="G172" s="8" t="n">
        <v>38.78</v>
      </c>
      <c r="H172" s="8" t="n">
        <v>15</v>
      </c>
      <c r="I172" s="8" t="n">
        <v>0</v>
      </c>
      <c r="J172" s="8" t="n">
        <v>0</v>
      </c>
      <c r="K172" s="8">
        <f>G172+H172+I172+J172</f>
        <v/>
      </c>
      <c r="L172" s="9">
        <f>$B$3</f>
        <v/>
      </c>
      <c r="M172" s="9">
        <f>$B$4</f>
        <v/>
      </c>
      <c r="N172" s="8">
        <f>K172/(1-(L172+M172))</f>
        <v/>
      </c>
      <c r="O172" s="8">
        <f>ROUND(K172/(1-(L172+M172)),2)</f>
        <v/>
      </c>
      <c r="P172" s="8" t="n">
        <v>95.88</v>
      </c>
      <c r="Q172" s="7">
        <f>IF(N172&lt;P172,"低于亚马逊",IF(N172&lt;P172*1.1,"接近亚马逊","高于亚马逊"))</f>
        <v/>
      </c>
      <c r="R172" s="8">
        <f>ROUND(N172*$B$12,2)</f>
        <v/>
      </c>
      <c r="S172" s="9">
        <f>(O172-N172)/O172</f>
        <v/>
      </c>
      <c r="T172" s="9">
        <f>(N172-K172)/N172</f>
        <v/>
      </c>
      <c r="U172" s="9">
        <f>(N172-K172)/N172-$B$4</f>
        <v/>
      </c>
      <c r="V172" s="7" t="inlineStr">
        <is>
          <t>已匹配</t>
        </is>
      </c>
    </row>
    <row r="173">
      <c r="A173" s="7" t="inlineStr">
        <is>
          <t>SHOP-00172</t>
        </is>
      </c>
      <c r="B173" s="7" t="inlineStr">
        <is>
          <t>宠物玩具球 V4</t>
        </is>
      </c>
      <c r="C173" s="7" t="inlineStr">
        <is>
          <t>PET-宠物-0172</t>
        </is>
      </c>
      <c r="D173" s="7" t="inlineStr">
        <is>
          <t>宠物出行</t>
        </is>
      </c>
      <c r="E173" s="7" t="n">
        <v>2</v>
      </c>
      <c r="F173" s="7" t="inlineStr">
        <is>
          <t>有货</t>
        </is>
      </c>
      <c r="G173" s="8" t="n">
        <v>9.220000000000001</v>
      </c>
      <c r="H173" s="8" t="n">
        <v>6.44</v>
      </c>
      <c r="I173" s="8" t="n">
        <v>0</v>
      </c>
      <c r="J173" s="8" t="n">
        <v>0</v>
      </c>
      <c r="K173" s="8">
        <f>G173+H173+I173+J173</f>
        <v/>
      </c>
      <c r="L173" s="9">
        <f>$B$3</f>
        <v/>
      </c>
      <c r="M173" s="9">
        <f>$B$4</f>
        <v/>
      </c>
      <c r="N173" s="8">
        <f>K173/(1-(L173+M173))</f>
        <v/>
      </c>
      <c r="O173" s="8">
        <f>ROUND(K173/(1-(L173+M173)),2)</f>
        <v/>
      </c>
      <c r="P173" s="8" t="n">
        <v>29.33</v>
      </c>
      <c r="Q173" s="7">
        <f>IF(N173&lt;P173,"低于亚马逊",IF(N173&lt;P173*1.1,"接近亚马逊","高于亚马逊"))</f>
        <v/>
      </c>
      <c r="R173" s="8">
        <f>ROUND(N173*$B$12,2)</f>
        <v/>
      </c>
      <c r="S173" s="9">
        <f>(O173-N173)/O173</f>
        <v/>
      </c>
      <c r="T173" s="9">
        <f>(N173-K173)/N173</f>
        <v/>
      </c>
      <c r="U173" s="9">
        <f>(N173-K173)/N173-$B$4</f>
        <v/>
      </c>
      <c r="V173" s="7" t="inlineStr">
        <is>
          <t>已匹配</t>
        </is>
      </c>
    </row>
    <row r="174">
      <c r="A174" s="7" t="inlineStr">
        <is>
          <t>SHOP-00173</t>
        </is>
      </c>
      <c r="B174" s="7" t="inlineStr">
        <is>
          <t>宠物毛绒玩偶 V4</t>
        </is>
      </c>
      <c r="C174" s="7" t="inlineStr">
        <is>
          <t>PET-宠物-0173</t>
        </is>
      </c>
      <c r="D174" s="7" t="inlineStr">
        <is>
          <t>宠物清洁</t>
        </is>
      </c>
      <c r="E174" s="7" t="n">
        <v>2</v>
      </c>
      <c r="F174" s="7" t="inlineStr">
        <is>
          <t>有货</t>
        </is>
      </c>
      <c r="G174" s="8" t="n">
        <v>22.68</v>
      </c>
      <c r="H174" s="8" t="n">
        <v>8.970000000000001</v>
      </c>
      <c r="I174" s="8" t="n">
        <v>0</v>
      </c>
      <c r="J174" s="8" t="n">
        <v>0</v>
      </c>
      <c r="K174" s="8">
        <f>G174+H174+I174+J174</f>
        <v/>
      </c>
      <c r="L174" s="9">
        <f>$B$3</f>
        <v/>
      </c>
      <c r="M174" s="9">
        <f>$B$4</f>
        <v/>
      </c>
      <c r="N174" s="8">
        <f>K174/(1-(L174+M174))</f>
        <v/>
      </c>
      <c r="O174" s="8">
        <f>ROUND(K174/(1-(L174+M174)),2)</f>
        <v/>
      </c>
      <c r="P174" s="8" t="n">
        <v>64.94</v>
      </c>
      <c r="Q174" s="7">
        <f>IF(N174&lt;P174,"低于亚马逊",IF(N174&lt;P174*1.1,"接近亚马逊","高于亚马逊"))</f>
        <v/>
      </c>
      <c r="R174" s="8">
        <f>ROUND(N174*$B$12,2)</f>
        <v/>
      </c>
      <c r="S174" s="9">
        <f>(O174-N174)/O174</f>
        <v/>
      </c>
      <c r="T174" s="9">
        <f>(N174-K174)/N174</f>
        <v/>
      </c>
      <c r="U174" s="9">
        <f>(N174-K174)/N174-$B$4</f>
        <v/>
      </c>
      <c r="V174" s="7" t="inlineStr">
        <is>
          <t>已匹配</t>
        </is>
      </c>
    </row>
    <row r="175">
      <c r="A175" s="7" t="inlineStr">
        <is>
          <t>SHOP-00174</t>
        </is>
      </c>
      <c r="B175" s="7" t="inlineStr">
        <is>
          <t>宠物猫爬架配件 V4</t>
        </is>
      </c>
      <c r="C175" s="7" t="inlineStr">
        <is>
          <t>PET-宠物-0174</t>
        </is>
      </c>
      <c r="D175" s="7" t="inlineStr">
        <is>
          <t>宠物服饰</t>
        </is>
      </c>
      <c r="E175" s="7" t="n">
        <v>1</v>
      </c>
      <c r="F175" s="7" t="inlineStr">
        <is>
          <t>缺货</t>
        </is>
      </c>
      <c r="G175" s="8" t="n">
        <v>28.32</v>
      </c>
      <c r="H175" s="8" t="n">
        <v>15</v>
      </c>
      <c r="I175" s="8" t="n">
        <v>0</v>
      </c>
      <c r="J175" s="8" t="n">
        <v>0</v>
      </c>
      <c r="K175" s="8">
        <f>G175+H175+I175+J175</f>
        <v/>
      </c>
      <c r="L175" s="9">
        <f>$B$3</f>
        <v/>
      </c>
      <c r="M175" s="9">
        <f>$B$4</f>
        <v/>
      </c>
      <c r="N175" s="8">
        <f>K175/(1-(L175+M175))</f>
        <v/>
      </c>
      <c r="O175" s="8">
        <f>ROUND(K175/(1-(L175+M175)),2)</f>
        <v/>
      </c>
      <c r="P175" s="8" t="n">
        <v>79.51000000000001</v>
      </c>
      <c r="Q175" s="7">
        <f>IF(N175&lt;P175,"低于亚马逊",IF(N175&lt;P175*1.1,"接近亚马逊","高于亚马逊"))</f>
        <v/>
      </c>
      <c r="R175" s="8">
        <f>ROUND(N175*$B$12,2)</f>
        <v/>
      </c>
      <c r="S175" s="9">
        <f>(O175-N175)/O175</f>
        <v/>
      </c>
      <c r="T175" s="9">
        <f>(N175-K175)/N175</f>
        <v/>
      </c>
      <c r="U175" s="9">
        <f>(N175-K175)/N175-$B$4</f>
        <v/>
      </c>
      <c r="V175" s="7" t="inlineStr">
        <is>
          <t>已匹配</t>
        </is>
      </c>
    </row>
    <row r="176">
      <c r="A176" s="7" t="inlineStr">
        <is>
          <t>SHOP-00175</t>
        </is>
      </c>
      <c r="B176" s="7" t="inlineStr">
        <is>
          <t>宠物狗垫子 V4</t>
        </is>
      </c>
      <c r="C176" s="7" t="inlineStr">
        <is>
          <t>PET-宠物-0175</t>
        </is>
      </c>
      <c r="D176" s="7" t="inlineStr">
        <is>
          <t>宠物美容</t>
        </is>
      </c>
      <c r="E176" s="7" t="n">
        <v>1</v>
      </c>
      <c r="F176" s="7" t="inlineStr">
        <is>
          <t>有货</t>
        </is>
      </c>
      <c r="G176" s="8" t="n">
        <v>5.17</v>
      </c>
      <c r="H176" s="8" t="n">
        <v>6.44</v>
      </c>
      <c r="I176" s="8" t="n">
        <v>0</v>
      </c>
      <c r="J176" s="8" t="n">
        <v>0</v>
      </c>
      <c r="K176" s="8">
        <f>G176+H176+I176+J176</f>
        <v/>
      </c>
      <c r="L176" s="9">
        <f>$B$3</f>
        <v/>
      </c>
      <c r="M176" s="9">
        <f>$B$4</f>
        <v/>
      </c>
      <c r="N176" s="8">
        <f>K176/(1-(L176+M176))</f>
        <v/>
      </c>
      <c r="O176" s="8">
        <f>ROUND(K176/(1-(L176+M176)),2)</f>
        <v/>
      </c>
      <c r="P176" s="8" t="n">
        <v>17.58</v>
      </c>
      <c r="Q176" s="7">
        <f>IF(N176&lt;P176,"低于亚马逊",IF(N176&lt;P176*1.1,"接近亚马逊","高于亚马逊"))</f>
        <v/>
      </c>
      <c r="R176" s="8">
        <f>ROUND(N176*$B$12,2)</f>
        <v/>
      </c>
      <c r="S176" s="9">
        <f>(O176-N176)/O176</f>
        <v/>
      </c>
      <c r="T176" s="9">
        <f>(N176-K176)/N176</f>
        <v/>
      </c>
      <c r="U176" s="9">
        <f>(N176-K176)/N176-$B$4</f>
        <v/>
      </c>
      <c r="V176" s="7" t="inlineStr">
        <is>
          <t>已匹配</t>
        </is>
      </c>
    </row>
    <row r="177">
      <c r="A177" s="7" t="inlineStr">
        <is>
          <t>SHOP-00176</t>
        </is>
      </c>
      <c r="B177" s="7" t="inlineStr">
        <is>
          <t>宠物推车雨棚 V4</t>
        </is>
      </c>
      <c r="C177" s="7" t="inlineStr">
        <is>
          <t>PET-宠物-0176</t>
        </is>
      </c>
      <c r="D177" s="7" t="inlineStr">
        <is>
          <t>宠物玩具</t>
        </is>
      </c>
      <c r="E177" s="7" t="n">
        <v>4</v>
      </c>
      <c r="F177" s="7" t="inlineStr">
        <is>
          <t>缺货</t>
        </is>
      </c>
      <c r="G177" s="8" t="n">
        <v>4.3</v>
      </c>
      <c r="H177" s="8" t="n">
        <v>6.44</v>
      </c>
      <c r="I177" s="8" t="n">
        <v>0</v>
      </c>
      <c r="J177" s="8" t="n">
        <v>0</v>
      </c>
      <c r="K177" s="8">
        <f>G177+H177+I177+J177</f>
        <v/>
      </c>
      <c r="L177" s="9">
        <f>$B$3</f>
        <v/>
      </c>
      <c r="M177" s="9">
        <f>$B$4</f>
        <v/>
      </c>
      <c r="N177" s="8">
        <f>K177/(1-(L177+M177))</f>
        <v/>
      </c>
      <c r="O177" s="8">
        <f>ROUND(K177/(1-(L177+M177)),2)</f>
        <v/>
      </c>
      <c r="P177" s="8" t="n">
        <v>14.04</v>
      </c>
      <c r="Q177" s="7">
        <f>IF(N177&lt;P177,"低于亚马逊",IF(N177&lt;P177*1.1,"接近亚马逊","高于亚马逊"))</f>
        <v/>
      </c>
      <c r="R177" s="8">
        <f>ROUND(N177*$B$12,2)</f>
        <v/>
      </c>
      <c r="S177" s="9">
        <f>(O177-N177)/O177</f>
        <v/>
      </c>
      <c r="T177" s="9">
        <f>(N177-K177)/N177</f>
        <v/>
      </c>
      <c r="U177" s="9">
        <f>(N177-K177)/N177-$B$4</f>
        <v/>
      </c>
      <c r="V177" s="7" t="inlineStr">
        <is>
          <t>已匹配</t>
        </is>
      </c>
    </row>
    <row r="178">
      <c r="A178" s="7" t="inlineStr">
        <is>
          <t>SHOP-00177</t>
        </is>
      </c>
      <c r="B178" s="7" t="inlineStr">
        <is>
          <t>宠物外出水杯 V4</t>
        </is>
      </c>
      <c r="C178" s="7" t="inlineStr">
        <is>
          <t>PET-宠物-0177</t>
        </is>
      </c>
      <c r="D178" s="7" t="inlineStr">
        <is>
          <t>宠物喂食</t>
        </is>
      </c>
      <c r="E178" s="7" t="n">
        <v>4</v>
      </c>
      <c r="F178" s="7" t="inlineStr">
        <is>
          <t>库存紧张</t>
        </is>
      </c>
      <c r="G178" s="8" t="n">
        <v>30.8</v>
      </c>
      <c r="H178" s="8" t="n">
        <v>15</v>
      </c>
      <c r="I178" s="8" t="n">
        <v>0</v>
      </c>
      <c r="J178" s="8" t="n">
        <v>0</v>
      </c>
      <c r="K178" s="8">
        <f>G178+H178+I178+J178</f>
        <v/>
      </c>
      <c r="L178" s="9">
        <f>$B$3</f>
        <v/>
      </c>
      <c r="M178" s="9">
        <f>$B$4</f>
        <v/>
      </c>
      <c r="N178" s="8">
        <f>K178/(1-(L178+M178))</f>
        <v/>
      </c>
      <c r="O178" s="8">
        <f>ROUND(K178/(1-(L178+M178)),2)</f>
        <v/>
      </c>
      <c r="P178" s="8" t="n">
        <v>94.5</v>
      </c>
      <c r="Q178" s="7">
        <f>IF(N178&lt;P178,"低于亚马逊",IF(N178&lt;P178*1.1,"接近亚马逊","高于亚马逊"))</f>
        <v/>
      </c>
      <c r="R178" s="8">
        <f>ROUND(N178*$B$12,2)</f>
        <v/>
      </c>
      <c r="S178" s="9">
        <f>(O178-N178)/O178</f>
        <v/>
      </c>
      <c r="T178" s="9">
        <f>(N178-K178)/N178</f>
        <v/>
      </c>
      <c r="U178" s="9">
        <f>(N178-K178)/N178-$B$4</f>
        <v/>
      </c>
      <c r="V178" s="7" t="inlineStr">
        <is>
          <t>已匹配</t>
        </is>
      </c>
    </row>
    <row r="179">
      <c r="A179" s="7" t="inlineStr">
        <is>
          <t>SHOP-00178</t>
        </is>
      </c>
      <c r="B179" s="7" t="inlineStr">
        <is>
          <t>宠物驱虫滴剂 V4</t>
        </is>
      </c>
      <c r="C179" s="7" t="inlineStr">
        <is>
          <t>PET-宠物-0178</t>
        </is>
      </c>
      <c r="D179" s="7" t="inlineStr">
        <is>
          <t>宠物出行</t>
        </is>
      </c>
      <c r="E179" s="7" t="n">
        <v>2</v>
      </c>
      <c r="F179" s="7" t="inlineStr">
        <is>
          <t>缺货</t>
        </is>
      </c>
      <c r="G179" s="8" t="n">
        <v>10.37</v>
      </c>
      <c r="H179" s="8" t="n">
        <v>8.970000000000001</v>
      </c>
      <c r="I179" s="8" t="n">
        <v>0</v>
      </c>
      <c r="J179" s="8" t="n">
        <v>0</v>
      </c>
      <c r="K179" s="8">
        <f>G179+H179+I179+J179</f>
        <v/>
      </c>
      <c r="L179" s="9">
        <f>$B$3</f>
        <v/>
      </c>
      <c r="M179" s="9">
        <f>$B$4</f>
        <v/>
      </c>
      <c r="N179" s="8">
        <f>K179/(1-(L179+M179))</f>
        <v/>
      </c>
      <c r="O179" s="8">
        <f>ROUND(K179/(1-(L179+M179)),2)</f>
        <v/>
      </c>
      <c r="P179" s="8" t="n">
        <v>30.41</v>
      </c>
      <c r="Q179" s="7">
        <f>IF(N179&lt;P179,"低于亚马逊",IF(N179&lt;P179*1.1,"接近亚马逊","高于亚马逊"))</f>
        <v/>
      </c>
      <c r="R179" s="8">
        <f>ROUND(N179*$B$12,2)</f>
        <v/>
      </c>
      <c r="S179" s="9">
        <f>(O179-N179)/O179</f>
        <v/>
      </c>
      <c r="T179" s="9">
        <f>(N179-K179)/N179</f>
        <v/>
      </c>
      <c r="U179" s="9">
        <f>(N179-K179)/N179-$B$4</f>
        <v/>
      </c>
      <c r="V179" s="7" t="inlineStr">
        <is>
          <t>已匹配</t>
        </is>
      </c>
    </row>
    <row r="180">
      <c r="A180" s="7" t="inlineStr">
        <is>
          <t>SHOP-00179</t>
        </is>
      </c>
      <c r="B180" s="7" t="inlineStr">
        <is>
          <t>宠物耳部清洁液 V4</t>
        </is>
      </c>
      <c r="C180" s="7" t="inlineStr">
        <is>
          <t>PET-宠物-0179</t>
        </is>
      </c>
      <c r="D180" s="7" t="inlineStr">
        <is>
          <t>宠物清洁</t>
        </is>
      </c>
      <c r="E180" s="7" t="n">
        <v>4</v>
      </c>
      <c r="F180" s="7" t="inlineStr">
        <is>
          <t>缺货</t>
        </is>
      </c>
      <c r="G180" s="8" t="n">
        <v>36.66</v>
      </c>
      <c r="H180" s="8" t="n">
        <v>15</v>
      </c>
      <c r="I180" s="8" t="n">
        <v>0</v>
      </c>
      <c r="J180" s="8" t="n">
        <v>0</v>
      </c>
      <c r="K180" s="8">
        <f>G180+H180+I180+J180</f>
        <v/>
      </c>
      <c r="L180" s="9">
        <f>$B$3</f>
        <v/>
      </c>
      <c r="M180" s="9">
        <f>$B$4</f>
        <v/>
      </c>
      <c r="N180" s="8">
        <f>K180/(1-(L180+M180))</f>
        <v/>
      </c>
      <c r="O180" s="8">
        <f>ROUND(K180/(1-(L180+M180)),2)</f>
        <v/>
      </c>
      <c r="P180" s="8" t="n">
        <v>89.27</v>
      </c>
      <c r="Q180" s="7">
        <f>IF(N180&lt;P180,"低于亚马逊",IF(N180&lt;P180*1.1,"接近亚马逊","高于亚马逊"))</f>
        <v/>
      </c>
      <c r="R180" s="8">
        <f>ROUND(N180*$B$12,2)</f>
        <v/>
      </c>
      <c r="S180" s="9">
        <f>(O180-N180)/O180</f>
        <v/>
      </c>
      <c r="T180" s="9">
        <f>(N180-K180)/N180</f>
        <v/>
      </c>
      <c r="U180" s="9">
        <f>(N180-K180)/N180-$B$4</f>
        <v/>
      </c>
      <c r="V180" s="7" t="inlineStr">
        <is>
          <t>已匹配</t>
        </is>
      </c>
    </row>
    <row r="181">
      <c r="A181" s="7" t="inlineStr">
        <is>
          <t>SHOP-00180</t>
        </is>
      </c>
      <c r="B181" s="7" t="inlineStr">
        <is>
          <t>宠物眼部护理液 V4</t>
        </is>
      </c>
      <c r="C181" s="7" t="inlineStr">
        <is>
          <t>PET-宠物-0180</t>
        </is>
      </c>
      <c r="D181" s="7" t="inlineStr">
        <is>
          <t>宠物服饰</t>
        </is>
      </c>
      <c r="E181" s="7" t="n">
        <v>4</v>
      </c>
      <c r="F181" s="7" t="inlineStr">
        <is>
          <t>缺货</t>
        </is>
      </c>
      <c r="G181" s="8" t="n">
        <v>24.5</v>
      </c>
      <c r="H181" s="8" t="n">
        <v>8.970000000000001</v>
      </c>
      <c r="I181" s="8" t="n">
        <v>0</v>
      </c>
      <c r="J181" s="8" t="n">
        <v>0</v>
      </c>
      <c r="K181" s="8">
        <f>G181+H181+I181+J181</f>
        <v/>
      </c>
      <c r="L181" s="9">
        <f>$B$3</f>
        <v/>
      </c>
      <c r="M181" s="9">
        <f>$B$4</f>
        <v/>
      </c>
      <c r="N181" s="8">
        <f>K181/(1-(L181+M181))</f>
        <v/>
      </c>
      <c r="O181" s="8">
        <f>ROUND(K181/(1-(L181+M181)),2)</f>
        <v/>
      </c>
      <c r="P181" s="8" t="n">
        <v>66.52</v>
      </c>
      <c r="Q181" s="7">
        <f>IF(N181&lt;P181,"低于亚马逊",IF(N181&lt;P181*1.1,"接近亚马逊","高于亚马逊"))</f>
        <v/>
      </c>
      <c r="R181" s="8">
        <f>ROUND(N181*$B$12,2)</f>
        <v/>
      </c>
      <c r="S181" s="9">
        <f>(O181-N181)/O181</f>
        <v/>
      </c>
      <c r="T181" s="9">
        <f>(N181-K181)/N181</f>
        <v/>
      </c>
      <c r="U181" s="9">
        <f>(N181-K181)/N181-$B$4</f>
        <v/>
      </c>
      <c r="V181" s="7" t="inlineStr">
        <is>
          <t>已匹配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5" customWidth="1" min="3" max="3"/>
  </cols>
  <sheetData>
    <row r="1">
      <c r="A1" s="1" t="inlineStr">
        <is>
          <t>价格调整汇总报告</t>
        </is>
      </c>
    </row>
    <row r="3">
      <c r="A3" s="5" t="inlineStr">
        <is>
          <t>统计项目</t>
        </is>
      </c>
      <c r="B3" s="5" t="inlineStr">
        <is>
          <t>数值</t>
        </is>
      </c>
    </row>
    <row r="4">
      <c r="A4" t="inlineStr">
        <is>
          <t>产品总数</t>
        </is>
      </c>
      <c r="B4" t="n">
        <v>180</v>
      </c>
    </row>
    <row r="5">
      <c r="A5" t="inlineStr">
        <is>
          <t>平均CJ采购价</t>
        </is>
      </c>
      <c r="B5" s="10">
        <f>AVERAGE('产品定价分析表_2026-05-07'!G2:G181)</f>
        <v/>
      </c>
    </row>
    <row r="6">
      <c r="A6" t="inlineStr">
        <is>
          <t>平均落地成本</t>
        </is>
      </c>
      <c r="B6" s="10">
        <f>AVERAGE('产品定价分析表_2026-05-07'!K2:K181)</f>
        <v/>
      </c>
    </row>
    <row r="7">
      <c r="A7" t="inlineStr">
        <is>
          <t>平均零售价</t>
        </is>
      </c>
      <c r="B7" s="10">
        <f>AVERAGE('产品定价分析表_2026-05-07'!N2:N181)</f>
        <v/>
      </c>
    </row>
    <row r="8">
      <c r="A8" t="inlineStr">
        <is>
          <t>平均毛利率</t>
        </is>
      </c>
      <c r="B8" s="3">
        <f>AVERAGE('产品定价分析表_2026-05-07'!U2:U181)</f>
        <v/>
      </c>
    </row>
    <row r="9">
      <c r="A9" t="inlineStr">
        <is>
          <t>平均净利率</t>
        </is>
      </c>
      <c r="B9" s="3">
        <f>AVERAGE('产品定价分析表_2026-05-07'!V2:V181)</f>
        <v/>
      </c>
    </row>
    <row r="10">
      <c r="A10" t="inlineStr">
        <is>
          <t>平均划线价</t>
        </is>
      </c>
      <c r="B10" s="10">
        <f>AVERAGE('产品定价分析表_2026-05-07'!O2:O181)</f>
        <v/>
      </c>
    </row>
    <row r="11">
      <c r="A11" t="inlineStr">
        <is>
          <t>平均折扣率</t>
        </is>
      </c>
      <c r="B11" s="3">
        <f>AVERAGE('产品定价分析表_2026-05-07'!P2:P181)</f>
        <v/>
      </c>
    </row>
    <row r="13">
      <c r="A13" s="5" t="inlineStr">
        <is>
          <t>价格区间分布</t>
        </is>
      </c>
    </row>
    <row r="14">
      <c r="A14" t="inlineStr">
        <is>
          <t>Landed Cost &lt; $10 (小件)</t>
        </is>
      </c>
      <c r="B14">
        <f>COUNTIF('产品定价分析表_2026-05-07'!K2:K181,"&lt;10")</f>
        <v/>
      </c>
      <c r="C14" s="3">
        <f>B14/180</f>
        <v/>
      </c>
    </row>
    <row r="15">
      <c r="A15" t="inlineStr">
        <is>
          <t>$10 &lt;= Landed Cost &lt; $25 (中件)</t>
        </is>
      </c>
      <c r="B15">
        <f>COUNTIFS('产品定价分析表_2026-05-07'!K2:K181,"&gt;=10",'产品定价分析表_2026-05-07'!K2:K181,"&lt;25")</f>
        <v/>
      </c>
      <c r="C15" s="3">
        <f>B15/180</f>
        <v/>
      </c>
    </row>
    <row r="16">
      <c r="A16" t="inlineStr">
        <is>
          <t>Landed Cost &gt;= $25 (大件)</t>
        </is>
      </c>
      <c r="B16">
        <f>COUNTIF('产品定价分析表_2026-05-07'!K2:K181,"&gt;=25")</f>
        <v/>
      </c>
      <c r="C16" s="3">
        <f>B16/180</f>
        <v/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2026-05-07T15:25:14Z</dcterms:created>
  <dcterms:modified xmlns:dcterms="http://purl.org/dc/terms/" xmlns:xsi="http://www.w3.org/2001/XMLSchema-instance" xsi:type="dcterms:W3CDTF">2026-05-07T15:25:14Z</dcterms:modified>
</cp:coreProperties>
</file>